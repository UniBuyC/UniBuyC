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<sst xmlns="http://schemas.openxmlformats.org/spreadsheetml/2006/main" count="85" uniqueCount="65">
  <si>
    <t>UNIVERSIDAD AUTÓNOMA METROPOLITANA — UNIDAD CUAJIMALPA</t>
  </si>
  <si>
    <t>UEA: Calidad y Pruebas de Software • Matriz de Especificación y Ejecución de Pruebas</t>
  </si>
  <si>
    <t>Proyecto:</t>
  </si>
  <si>
    <t>UniBuyC</t>
  </si>
  <si>
    <t>Módulo:</t>
  </si>
  <si>
    <t>Casos de Uso</t>
  </si>
  <si>
    <t>Versión:</t>
  </si>
  <si>
    <t>v1.0 (Producción)</t>
  </si>
  <si>
    <t>Tester:</t>
  </si>
  <si>
    <t>Angel Oliveros</t>
  </si>
  <si>
    <t>Entorno:</t>
  </si>
  <si>
    <t>QA / Web (Chrome)</t>
  </si>
  <si>
    <t>Fecha:</t>
  </si>
  <si>
    <t>Objetivo:</t>
  </si>
  <si>
    <t>Verificar criterios de aceptación, flujo de compra end-to-end, registro de usuarios e integridad de carrito en automationexercise.com.</t>
  </si>
  <si>
    <t>TOTAL CASOS</t>
  </si>
  <si>
    <t>APROBADOS</t>
  </si>
  <si>
    <t>FALLIDOS</t>
  </si>
  <si>
    <t>BLOQUEADOS</t>
  </si>
  <si>
    <t>TASA DE ÉXITO</t>
  </si>
  <si>
    <t>Casos especificados</t>
  </si>
  <si>
    <t>Pruebas superadas</t>
  </si>
  <si>
    <t>Defectos detectados</t>
  </si>
  <si>
    <t>Con impedimento</t>
  </si>
  <si>
    <t>Efectividad global</t>
  </si>
  <si>
    <t>Caso de Uso</t>
  </si>
  <si>
    <t># Prueba</t>
  </si>
  <si>
    <t>Criterios de Aceptación</t>
  </si>
  <si>
    <t>Prioridad</t>
  </si>
  <si>
    <t>Tipo</t>
  </si>
  <si>
    <t>Precondiciones</t>
  </si>
  <si>
    <t>Pasos de Ejecución</t>
  </si>
  <si>
    <t>Resultado Esperado</t>
  </si>
  <si>
    <t>Resultado Actual</t>
  </si>
  <si>
    <t>Estado</t>
  </si>
  <si>
    <t>ID Defecto / Notas</t>
  </si>
  <si>
    <t>HU-01</t>
  </si>
  <si>
    <t>a)</t>
  </si>
  <si>
    <t>Alta</t>
  </si>
  <si>
    <t>Seguridad</t>
  </si>
  <si>
    <t>Ingreso a la aplicación web a traves del enlace o instalación de la APK: https://unibuyc-web.vercel.app/</t>
  </si>
  <si>
    <t>1. Clic en Crear Cuenta 2. Ingresar Datos que no esten previamente registrados</t>
  </si>
  <si>
    <t>Regresar a la pantalla principal con un aviso de la cuenta creada</t>
  </si>
  <si>
    <t>Regresa correctamente y se informa al usuario mediante una notificación</t>
  </si>
  <si>
    <t>Aprobado</t>
  </si>
  <si>
    <t>1. Clic en Crear Cuenta 2. Ingresar Datos que previamente registrados</t>
  </si>
  <si>
    <t>Que se bloquee de alguna manera la creación de la cuenta</t>
  </si>
  <si>
    <t>No permite la creación de la cuenta y envia una notificación sobre un error</t>
  </si>
  <si>
    <t>No se especifica que error es el que ocurre</t>
  </si>
  <si>
    <t>1. Clic en Crear Cuenta 2. Ingresar Datos incorrectos (correo no institucional)</t>
  </si>
  <si>
    <t>Permite la creación de la cuenta con un correo no insitucional</t>
  </si>
  <si>
    <t>Fallido</t>
  </si>
  <si>
    <t>Hay que bloquear dominios externos</t>
  </si>
  <si>
    <t xml:space="preserve">b) </t>
  </si>
  <si>
    <t>Media</t>
  </si>
  <si>
    <t>1. Clic en Crear Cuenta 2. Ingresar Datos  3. Colocar una contraseña</t>
  </si>
  <si>
    <t>Que no se permita la creación de la cuenta con una contraseña de menos de 6 caracteres</t>
  </si>
  <si>
    <t>Se bloquea el botón de crear cuenta hasta llegar a los 6 caracteres, si se presiona antes salta un aviso de que es necesario un minimo de 6 caracteres</t>
  </si>
  <si>
    <t>c)</t>
  </si>
  <si>
    <t>1. Clic en Crear Cuenta 2. Ingresar Datos  3. Colocar un correo fuera del dominio insitucional</t>
  </si>
  <si>
    <t>Que no se permita la creación de la cuenta con un correo fuera del dominio</t>
  </si>
  <si>
    <t>Permite sin problemas la creación de la cuenta</t>
  </si>
  <si>
    <t>asg</t>
  </si>
  <si>
    <t>as</t>
  </si>
  <si>
    <t>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</si>
</sst>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24">
    <font>
      <sz val="10.0"/>
      <color rgb="FF000000"/>
      <name val="Arial"/>
      <scheme val="minor"/>
    </font>
    <font>
      <b/>
      <sz val="13.0"/>
      <color rgb="FFFFFFFF"/>
      <name val="Roboto"/>
    </font>
    <font>
      <color theme="1"/>
      <name val="Arial"/>
    </font>
    <font>
      <b/>
      <color rgb="FFE5EDFF"/>
      <name val="Roboto"/>
    </font>
    <font>
      <b/>
      <color rgb="FF1B365D"/>
      <name val="Arial"/>
    </font>
    <font>
      <color rgb="FF1E2838"/>
      <name val="Roboto"/>
    </font>
    <font/>
    <font>
      <b/>
      <sz val="9.0"/>
      <color theme="1"/>
      <name val="Roboto"/>
    </font>
    <font>
      <b/>
      <sz val="18.0"/>
      <color rgb="FF1C4487"/>
      <name val="Roboto"/>
    </font>
    <font>
      <b/>
      <sz val="18.0"/>
      <color rgb="FF117233"/>
      <name val="Roboto"/>
    </font>
    <font>
      <b/>
      <sz val="18.0"/>
      <color rgb="FFC4211E"/>
      <name val="Roboto"/>
    </font>
    <font>
      <b/>
      <sz val="18.0"/>
      <color rgb="FFBF6B00"/>
      <name val="Roboto"/>
    </font>
    <font>
      <b/>
      <sz val="18.0"/>
      <color rgb="FF1972E8"/>
      <name val="Roboto"/>
    </font>
    <font>
      <sz val="8.0"/>
      <color rgb="FF667284"/>
      <name val="Roboto"/>
    </font>
    <font>
      <b/>
      <color rgb="FFFFFFFF"/>
      <name val="Roboto"/>
    </font>
    <font>
      <b/>
      <sz val="9.0"/>
      <color rgb="FF1C4587"/>
      <name val="Arial"/>
      <scheme val="minor"/>
    </font>
    <font>
      <b/>
      <sz val="9.0"/>
      <color rgb="FF262D38"/>
      <name val="Roboto"/>
    </font>
    <font>
      <b/>
      <sz val="9.0"/>
      <color rgb="FFC5211F"/>
      <name val="Roboto"/>
    </font>
    <font>
      <sz val="9.0"/>
      <color rgb="FF262D38"/>
      <name val="Roboto"/>
    </font>
    <font>
      <b/>
      <sz val="9.0"/>
      <color rgb="FF137333"/>
      <name val="Roboto"/>
    </font>
    <font>
      <b/>
      <sz val="9.0"/>
      <color rgb="FFAF5F00"/>
      <name val="Roboto"/>
    </font>
    <font>
      <b/>
      <sz val="10.0"/>
      <color rgb="FF1C4587"/>
      <name val="Arial"/>
    </font>
    <font>
      <sz val="9.0"/>
      <color theme="1"/>
      <name val="Arial"/>
    </font>
    <font>
      <b/>
      <sz val="9.0"/>
      <color rgb="FF1867D2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2F7FF"/>
        <bgColor rgb="FFF2F7FF"/>
      </patternFill>
    </fill>
    <fill>
      <patternFill patternType="solid">
        <fgColor rgb="FFEAF7ED"/>
        <bgColor rgb="FFEAF7ED"/>
      </patternFill>
    </fill>
    <fill>
      <patternFill patternType="solid">
        <fgColor rgb="FFFCEDED"/>
        <bgColor rgb="FFFCEDED"/>
      </patternFill>
    </fill>
    <fill>
      <patternFill patternType="solid">
        <fgColor rgb="FFFFF7E5"/>
        <bgColor rgb="FFFFF7E5"/>
      </patternFill>
    </fill>
    <fill>
      <patternFill patternType="solid">
        <fgColor rgb="FFEDF2FF"/>
        <bgColor rgb="FFEDF2FF"/>
      </patternFill>
    </fill>
    <fill>
      <patternFill patternType="solid">
        <fgColor rgb="FFFBE8E6"/>
        <bgColor rgb="FFFBE8E6"/>
      </patternFill>
    </fill>
    <fill>
      <patternFill patternType="solid">
        <fgColor rgb="FFE6F4EA"/>
        <bgColor rgb="FFE6F4EA"/>
      </patternFill>
    </fill>
    <fill>
      <patternFill patternType="solid">
        <fgColor rgb="FFF8FAFC"/>
        <bgColor rgb="FFF8FAFC"/>
      </patternFill>
    </fill>
    <fill>
      <patternFill patternType="solid">
        <fgColor rgb="FFFDF7DF"/>
        <bgColor rgb="FFFDF7DF"/>
      </patternFill>
    </fill>
    <fill>
      <patternFill patternType="solid">
        <fgColor rgb="FFE8EFFD"/>
        <bgColor rgb="FFE8EFFD"/>
      </patternFill>
    </fill>
    <fill>
      <patternFill patternType="solid">
        <fgColor rgb="FFFFFFFF"/>
        <bgColor rgb="FFFFFFFF"/>
      </patternFill>
    </fill>
  </fills>
  <borders count="51">
    <border/>
    <border>
      <left style="thin">
        <color rgb="FFD1D8E2"/>
      </left>
      <right style="thin">
        <color rgb="FFE0E5ED"/>
      </right>
      <top style="thin">
        <color rgb="FFD1D8E2"/>
      </top>
      <bottom style="thin">
        <color rgb="FFE0E5ED"/>
      </bottom>
    </border>
    <border>
      <left style="thin">
        <color rgb="FFE0E5ED"/>
      </left>
      <top style="thin">
        <color rgb="FFD1D8E2"/>
      </top>
      <bottom style="thin">
        <color rgb="FFE0E5ED"/>
      </bottom>
    </border>
    <border>
      <top style="thin">
        <color rgb="FFD1D8E2"/>
      </top>
      <bottom style="thin">
        <color rgb="FFE0E5ED"/>
      </bottom>
    </border>
    <border>
      <right style="thin">
        <color rgb="FFE0E5ED"/>
      </right>
      <top style="thin">
        <color rgb="FFD1D8E2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D1D8E2"/>
      </top>
      <bottom style="thin">
        <color rgb="FFE0E5ED"/>
      </bottom>
    </border>
    <border>
      <right style="thin">
        <color rgb="FFD1D8E2"/>
      </right>
      <top style="thin">
        <color rgb="FFD1D8E2"/>
      </top>
      <bottom style="thin">
        <color rgb="FFE0E5ED"/>
      </bottom>
    </border>
    <border>
      <left style="thin">
        <color rgb="FFD1D8E2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top style="thin">
        <color rgb="FFE0E5ED"/>
      </top>
      <bottom style="thin">
        <color rgb="FFE0E5ED"/>
      </bottom>
    </border>
    <border>
      <top style="thin">
        <color rgb="FFE0E5ED"/>
      </top>
      <bottom style="thin">
        <color rgb="FFE0E5ED"/>
      </bottom>
    </border>
    <border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right style="thin">
        <color rgb="FFD1D8E2"/>
      </right>
      <top style="thin">
        <color rgb="FFE0E5ED"/>
      </top>
      <bottom style="thin">
        <color rgb="FFE0E5ED"/>
      </bottom>
    </border>
    <border>
      <left style="thin">
        <color rgb="FFD1D8E2"/>
      </left>
      <right style="thin">
        <color rgb="FFE0E5ED"/>
      </right>
      <top style="thin">
        <color rgb="FFE0E5ED"/>
      </top>
      <bottom style="thin">
        <color rgb="FFD1D8E2"/>
      </bottom>
    </border>
    <border>
      <left style="thin">
        <color rgb="FFE0E5ED"/>
      </left>
      <top style="thin">
        <color rgb="FFE0E5ED"/>
      </top>
      <bottom style="thin">
        <color rgb="FFD1D8E2"/>
      </bottom>
    </border>
    <border>
      <top style="thin">
        <color rgb="FFE0E5ED"/>
      </top>
      <bottom style="thin">
        <color rgb="FFD1D8E2"/>
      </bottom>
    </border>
    <border>
      <right style="thin">
        <color rgb="FFD1D8E2"/>
      </right>
      <top style="thin">
        <color rgb="FFE0E5ED"/>
      </top>
      <bottom style="thin">
        <color rgb="FFD1D8E2"/>
      </bottom>
    </border>
    <border>
      <left style="thin">
        <color rgb="FFCCD8EA"/>
      </left>
      <top style="thin">
        <color rgb="FFCCD8EA"/>
      </top>
    </border>
    <border>
      <right style="thin">
        <color rgb="FFCCD8EA"/>
      </right>
      <top style="thin">
        <color rgb="FFCCD8EA"/>
      </top>
    </border>
    <border>
      <top style="thin">
        <color rgb="FFBFE0C6"/>
      </top>
    </border>
    <border>
      <right style="thin">
        <color rgb="FFBFE0C6"/>
      </right>
      <top style="thin">
        <color rgb="FFBFE0C6"/>
      </top>
    </border>
    <border>
      <top style="thin">
        <color rgb="FFF2CCCC"/>
      </top>
    </border>
    <border>
      <right style="thin">
        <color rgb="FFF2CCCC"/>
      </right>
      <top style="thin">
        <color rgb="FFF2CCCC"/>
      </top>
    </border>
    <border>
      <top style="thin">
        <color rgb="FFF2E0B2"/>
      </top>
    </border>
    <border>
      <right style="thin">
        <color rgb="FFF2E0B2"/>
      </right>
      <top style="thin">
        <color rgb="FFF2E0B2"/>
      </top>
    </border>
    <border>
      <top style="thin">
        <color rgb="FFCCD8F2"/>
      </top>
    </border>
    <border>
      <right style="thin">
        <color rgb="FFCCD8F2"/>
      </right>
      <top style="thin">
        <color rgb="FFCCD8F2"/>
      </top>
    </border>
    <border>
      <left style="thin">
        <color rgb="FFCCD8EA"/>
      </left>
    </border>
    <border>
      <right style="thin">
        <color rgb="FFCCD8EA"/>
      </right>
    </border>
    <border>
      <right style="thin">
        <color rgb="FFBFE0C6"/>
      </right>
    </border>
    <border>
      <right style="thin">
        <color rgb="FFF2CCCC"/>
      </right>
    </border>
    <border>
      <right style="thin">
        <color rgb="FFF2E0B2"/>
      </right>
    </border>
    <border>
      <right style="thin">
        <color rgb="FFCCD8F2"/>
      </right>
    </border>
    <border>
      <left style="thin">
        <color rgb="FFCCD8EA"/>
      </left>
      <bottom style="thin">
        <color rgb="FFCCD8EA"/>
      </bottom>
    </border>
    <border>
      <right style="thin">
        <color rgb="FFCCD8EA"/>
      </right>
      <bottom style="thin">
        <color rgb="FFCCD8EA"/>
      </bottom>
    </border>
    <border>
      <bottom style="thin">
        <color rgb="FFBFE0C6"/>
      </bottom>
    </border>
    <border>
      <right style="thin">
        <color rgb="FFBFE0C6"/>
      </right>
      <bottom style="thin">
        <color rgb="FFBFE0C6"/>
      </bottom>
    </border>
    <border>
      <bottom style="thin">
        <color rgb="FFF2CCCC"/>
      </bottom>
    </border>
    <border>
      <right style="thin">
        <color rgb="FFF2CCCC"/>
      </right>
      <bottom style="thin">
        <color rgb="FFF2CCCC"/>
      </bottom>
    </border>
    <border>
      <bottom style="thin">
        <color rgb="FFF2E0B2"/>
      </bottom>
    </border>
    <border>
      <right style="thin">
        <color rgb="FFF2E0B2"/>
      </right>
      <bottom style="thin">
        <color rgb="FFF2E0B2"/>
      </bottom>
    </border>
    <border>
      <bottom style="thin">
        <color rgb="FFCCD8F2"/>
      </bottom>
    </border>
    <border>
      <right style="thin">
        <color rgb="FFCCD8F2"/>
      </right>
      <bottom style="thin">
        <color rgb="FFCCD8F2"/>
      </bottom>
    </border>
    <border>
      <left style="thin">
        <color rgb="FFBFCCD8"/>
      </left>
      <right style="thin">
        <color rgb="FFE0E5ED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E0E5ED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BFCCD8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/>
    </xf>
    <xf borderId="0" fillId="3" fontId="4" numFmtId="0" xfId="0" applyFill="1" applyFont="1"/>
    <xf borderId="1" fillId="3" fontId="4" numFmtId="0" xfId="0" applyBorder="1" applyFill="1" applyFont="1"/>
    <xf borderId="2" fillId="3" fontId="5" numFmtId="0" xfId="0" applyAlignment="1" applyBorder="1" applyFill="1" applyFont="1">
      <alignment readingOrder="0"/>
    </xf>
    <xf borderId="3" fillId="0" fontId="6" numFmtId="0" xfId="0" applyBorder="1" applyFont="1"/>
    <xf borderId="4" fillId="0" fontId="6" numFmtId="0" xfId="0" applyBorder="1" applyFont="1"/>
    <xf borderId="5" fillId="3" fontId="4" numFmtId="0" xfId="0" applyBorder="1" applyFill="1" applyFont="1"/>
    <xf borderId="2" fillId="3" fontId="5" numFmtId="0" xfId="0" applyBorder="1" applyFill="1" applyFont="1"/>
    <xf borderId="6" fillId="0" fontId="6" numFmtId="0" xfId="0" applyBorder="1" applyFont="1"/>
    <xf borderId="7" fillId="3" fontId="4" numFmtId="0" xfId="0" applyBorder="1" applyFill="1" applyFont="1"/>
    <xf borderId="8" fillId="3" fontId="5" numFmtId="0" xfId="0" applyBorder="1" applyFill="1" applyFont="1"/>
    <xf borderId="9" fillId="0" fontId="6" numFmtId="0" xfId="0" applyBorder="1" applyFont="1"/>
    <xf borderId="10" fillId="0" fontId="6" numFmtId="0" xfId="0" applyBorder="1" applyFont="1"/>
    <xf borderId="11" fillId="3" fontId="4" numFmtId="0" xfId="0" applyBorder="1" applyFill="1" applyFont="1"/>
    <xf borderId="8" fillId="3" fontId="5" numFmtId="164" xfId="0" applyAlignment="1" applyBorder="1" applyFill="1" applyFont="1" applyNumberFormat="1">
      <alignment horizontal="right"/>
    </xf>
    <xf borderId="12" fillId="0" fontId="6" numFmtId="0" xfId="0" applyBorder="1" applyFont="1"/>
    <xf borderId="13" fillId="3" fontId="4" numFmtId="0" xfId="0" applyBorder="1" applyFill="1" applyFont="1"/>
    <xf borderId="14" fillId="3" fontId="5" numFmtId="0" xfId="0" applyBorder="1" applyFill="1" applyFont="1"/>
    <xf borderId="15" fillId="0" fontId="6" numFmtId="0" xfId="0" applyBorder="1" applyFont="1"/>
    <xf borderId="16" fillId="0" fontId="6" numFmtId="0" xfId="0" applyBorder="1" applyFont="1"/>
    <xf borderId="0" fillId="4" fontId="7" numFmtId="0" xfId="0" applyAlignment="1" applyFill="1" applyFont="1">
      <alignment horizontal="center"/>
    </xf>
    <xf borderId="17" fillId="4" fontId="7" numFmtId="0" xfId="0" applyAlignment="1" applyBorder="1" applyFill="1" applyFont="1">
      <alignment horizontal="center"/>
    </xf>
    <xf borderId="18" fillId="0" fontId="6" numFmtId="0" xfId="0" applyBorder="1" applyFont="1"/>
    <xf borderId="19" fillId="5" fontId="7" numFmtId="0" xfId="0" applyAlignment="1" applyBorder="1" applyFill="1" applyFont="1">
      <alignment horizontal="center"/>
    </xf>
    <xf borderId="20" fillId="0" fontId="6" numFmtId="0" xfId="0" applyBorder="1" applyFont="1"/>
    <xf borderId="21" fillId="6" fontId="7" numFmtId="0" xfId="0" applyAlignment="1" applyBorder="1" applyFill="1" applyFont="1">
      <alignment horizontal="center"/>
    </xf>
    <xf borderId="22" fillId="0" fontId="6" numFmtId="0" xfId="0" applyBorder="1" applyFont="1"/>
    <xf borderId="23" fillId="7" fontId="7" numFmtId="0" xfId="0" applyAlignment="1" applyBorder="1" applyFill="1" applyFont="1">
      <alignment horizontal="center"/>
    </xf>
    <xf borderId="24" fillId="0" fontId="6" numFmtId="0" xfId="0" applyBorder="1" applyFont="1"/>
    <xf borderId="25" fillId="8" fontId="7" numFmtId="0" xfId="0" applyAlignment="1" applyBorder="1" applyFill="1" applyFont="1">
      <alignment horizontal="center"/>
    </xf>
    <xf borderId="26" fillId="0" fontId="6" numFmtId="0" xfId="0" applyBorder="1" applyFont="1"/>
    <xf borderId="0" fillId="4" fontId="8" numFmtId="0" xfId="0" applyAlignment="1" applyFill="1" applyFont="1">
      <alignment horizontal="center"/>
    </xf>
    <xf borderId="27" fillId="4" fontId="8" numFmtId="0" xfId="0" applyAlignment="1" applyBorder="1" applyFill="1" applyFont="1">
      <alignment horizontal="center"/>
    </xf>
    <xf borderId="28" fillId="0" fontId="6" numFmtId="0" xfId="0" applyBorder="1" applyFont="1"/>
    <xf borderId="0" fillId="5" fontId="9" numFmtId="0" xfId="0" applyAlignment="1" applyFill="1" applyFont="1">
      <alignment horizontal="center"/>
    </xf>
    <xf borderId="29" fillId="0" fontId="6" numFmtId="0" xfId="0" applyBorder="1" applyFont="1"/>
    <xf borderId="0" fillId="6" fontId="10" numFmtId="0" xfId="0" applyAlignment="1" applyFill="1" applyFont="1">
      <alignment horizontal="center"/>
    </xf>
    <xf borderId="30" fillId="0" fontId="6" numFmtId="0" xfId="0" applyBorder="1" applyFont="1"/>
    <xf borderId="0" fillId="7" fontId="11" numFmtId="0" xfId="0" applyAlignment="1" applyFill="1" applyFont="1">
      <alignment horizontal="center"/>
    </xf>
    <xf borderId="31" fillId="0" fontId="6" numFmtId="0" xfId="0" applyBorder="1" applyFont="1"/>
    <xf borderId="0" fillId="8" fontId="12" numFmtId="165" xfId="0" applyAlignment="1" applyFill="1" applyFont="1" applyNumberFormat="1">
      <alignment horizontal="center"/>
    </xf>
    <xf borderId="32" fillId="0" fontId="6" numFmtId="0" xfId="0" applyBorder="1" applyFont="1"/>
    <xf borderId="0" fillId="4" fontId="13" numFmtId="0" xfId="0" applyAlignment="1" applyFill="1" applyFont="1">
      <alignment horizontal="center"/>
    </xf>
    <xf borderId="33" fillId="4" fontId="13" numFmtId="0" xfId="0" applyAlignment="1" applyBorder="1" applyFill="1" applyFont="1">
      <alignment horizontal="center"/>
    </xf>
    <xf borderId="34" fillId="0" fontId="6" numFmtId="0" xfId="0" applyBorder="1" applyFont="1"/>
    <xf borderId="35" fillId="5" fontId="13" numFmtId="0" xfId="0" applyAlignment="1" applyBorder="1" applyFill="1" applyFont="1">
      <alignment horizontal="center"/>
    </xf>
    <xf borderId="36" fillId="0" fontId="6" numFmtId="0" xfId="0" applyBorder="1" applyFont="1"/>
    <xf borderId="37" fillId="6" fontId="13" numFmtId="0" xfId="0" applyAlignment="1" applyBorder="1" applyFill="1" applyFont="1">
      <alignment horizontal="center"/>
    </xf>
    <xf borderId="38" fillId="0" fontId="6" numFmtId="0" xfId="0" applyBorder="1" applyFont="1"/>
    <xf borderId="39" fillId="7" fontId="13" numFmtId="0" xfId="0" applyAlignment="1" applyBorder="1" applyFill="1" applyFont="1">
      <alignment horizontal="center"/>
    </xf>
    <xf borderId="40" fillId="0" fontId="6" numFmtId="0" xfId="0" applyBorder="1" applyFont="1"/>
    <xf borderId="41" fillId="8" fontId="13" numFmtId="0" xfId="0" applyAlignment="1" applyBorder="1" applyFill="1" applyFont="1">
      <alignment horizontal="center"/>
    </xf>
    <xf borderId="42" fillId="0" fontId="6" numFmtId="0" xfId="0" applyBorder="1" applyFont="1"/>
    <xf borderId="43" fillId="2" fontId="14" numFmtId="0" xfId="0" applyAlignment="1" applyBorder="1" applyFill="1" applyFont="1">
      <alignment horizontal="center" readingOrder="0"/>
    </xf>
    <xf borderId="44" fillId="2" fontId="14" numFmtId="0" xfId="0" applyAlignment="1" applyBorder="1" applyFill="1" applyFont="1">
      <alignment horizontal="center" readingOrder="0"/>
    </xf>
    <xf borderId="44" fillId="2" fontId="14" numFmtId="0" xfId="0" applyAlignment="1" applyBorder="1" applyFill="1" applyFont="1">
      <alignment horizontal="center"/>
    </xf>
    <xf borderId="45" fillId="2" fontId="14" numFmtId="0" xfId="0" applyAlignment="1" applyBorder="1" applyFill="1" applyFont="1">
      <alignment horizontal="center"/>
    </xf>
    <xf borderId="0" fillId="0" fontId="15" numFmtId="0" xfId="0" applyAlignment="1" applyFont="1">
      <alignment readingOrder="0"/>
    </xf>
    <xf borderId="11" fillId="0" fontId="16" numFmtId="0" xfId="0" applyAlignment="1" applyBorder="1" applyFont="1">
      <alignment horizontal="center" readingOrder="0" shrinkToFit="0" vertical="top" wrapText="1"/>
    </xf>
    <xf borderId="11" fillId="9" fontId="17" numFmtId="0" xfId="0" applyAlignment="1" applyBorder="1" applyFill="1" applyFont="1">
      <alignment shrinkToFit="0" vertical="top" wrapText="1"/>
    </xf>
    <xf borderId="11" fillId="0" fontId="18" numFmtId="0" xfId="0" applyAlignment="1" applyBorder="1" applyFont="1">
      <alignment shrinkToFit="0" vertical="top" wrapText="1"/>
    </xf>
    <xf borderId="11" fillId="0" fontId="18" numFmtId="0" xfId="0" applyAlignment="1" applyBorder="1" applyFont="1">
      <alignment readingOrder="0" shrinkToFit="0" vertical="top" wrapText="1"/>
    </xf>
    <xf borderId="11" fillId="10" fontId="19" numFmtId="0" xfId="0" applyAlignment="1" applyBorder="1" applyFill="1" applyFont="1">
      <alignment readingOrder="0" shrinkToFit="0" vertical="top" wrapText="1"/>
    </xf>
    <xf borderId="46" fillId="0" fontId="2" numFmtId="0" xfId="0" applyAlignment="1" applyBorder="1" applyFont="1">
      <alignment vertical="top"/>
    </xf>
    <xf borderId="11" fillId="11" fontId="16" numFmtId="0" xfId="0" applyAlignment="1" applyBorder="1" applyFill="1" applyFont="1">
      <alignment horizontal="center" readingOrder="0" shrinkToFit="0" vertical="top" wrapText="1"/>
    </xf>
    <xf borderId="11" fillId="11" fontId="18" numFmtId="0" xfId="0" applyAlignment="1" applyBorder="1" applyFill="1" applyFont="1">
      <alignment readingOrder="0" shrinkToFit="0" vertical="top" wrapText="1"/>
    </xf>
    <xf borderId="46" fillId="11" fontId="2" numFmtId="0" xfId="0" applyAlignment="1" applyBorder="1" applyFill="1" applyFont="1">
      <alignment readingOrder="0" shrinkToFit="0" vertical="top" wrapText="1"/>
    </xf>
    <xf borderId="11" fillId="9" fontId="17" numFmtId="0" xfId="0" applyAlignment="1" applyBorder="1" applyFill="1" applyFont="1">
      <alignment readingOrder="0" shrinkToFit="0" vertical="top" wrapText="1"/>
    </xf>
    <xf borderId="46" fillId="0" fontId="2" numFmtId="0" xfId="0" applyAlignment="1" applyBorder="1" applyFont="1">
      <alignment readingOrder="0" shrinkToFit="0" vertical="top" wrapText="1"/>
    </xf>
    <xf borderId="11" fillId="12" fontId="20" numFmtId="0" xfId="0" applyAlignment="1" applyBorder="1" applyFill="1" applyFont="1">
      <alignment shrinkToFit="0" vertical="top" wrapText="1"/>
    </xf>
    <xf borderId="46" fillId="11" fontId="2" numFmtId="0" xfId="0" applyAlignment="1" applyBorder="1" applyFill="1" applyFont="1">
      <alignment vertical="top"/>
    </xf>
    <xf borderId="0" fillId="0" fontId="21" numFmtId="0" xfId="0" applyAlignment="1" applyFont="1">
      <alignment readingOrder="0"/>
    </xf>
    <xf borderId="11" fillId="12" fontId="20" numFmtId="0" xfId="0" applyAlignment="1" applyBorder="1" applyFill="1" applyFont="1">
      <alignment readingOrder="0" shrinkToFit="0" vertical="top" wrapText="1"/>
    </xf>
    <xf borderId="0" fillId="0" fontId="22" numFmtId="0" xfId="0" applyAlignment="1" applyFont="1">
      <alignment readingOrder="0" shrinkToFit="0" vertical="top" wrapText="1"/>
    </xf>
    <xf borderId="11" fillId="11" fontId="18" numFmtId="0" xfId="0" applyAlignment="1" applyBorder="1" applyFill="1" applyFont="1">
      <alignment shrinkToFit="0" vertical="top" wrapText="1"/>
    </xf>
    <xf borderId="11" fillId="11" fontId="2" numFmtId="0" xfId="0" applyAlignment="1" applyBorder="1" applyFill="1" applyFont="1">
      <alignment vertical="top"/>
    </xf>
    <xf borderId="11" fillId="11" fontId="2" numFmtId="0" xfId="0" applyAlignment="1" applyBorder="1" applyFill="1" applyFont="1">
      <alignment readingOrder="0" vertical="top"/>
    </xf>
    <xf borderId="11" fillId="13" fontId="23" numFmtId="0" xfId="0" applyAlignment="1" applyBorder="1" applyFill="1" applyFont="1">
      <alignment shrinkToFit="0" vertical="top" wrapText="1"/>
    </xf>
    <xf borderId="11" fillId="0" fontId="2" numFmtId="0" xfId="0" applyAlignment="1" applyBorder="1" applyFont="1">
      <alignment vertical="top"/>
    </xf>
    <xf borderId="11" fillId="0" fontId="2" numFmtId="0" xfId="0" applyAlignment="1" applyBorder="1" applyFont="1">
      <alignment readingOrder="0" vertical="top"/>
    </xf>
    <xf borderId="47" fillId="14" fontId="2" numFmtId="0" xfId="0" applyBorder="1" applyFill="1" applyFont="1"/>
    <xf borderId="11" fillId="14" fontId="2" numFmtId="0" xfId="0" applyBorder="1" applyFill="1" applyFont="1"/>
    <xf borderId="11" fillId="14" fontId="2" numFmtId="0" xfId="0" applyAlignment="1" applyBorder="1" applyFill="1" applyFont="1">
      <alignment readingOrder="0"/>
    </xf>
    <xf borderId="46" fillId="14" fontId="2" numFmtId="0" xfId="0" applyBorder="1" applyFill="1" applyFont="1"/>
    <xf borderId="48" fillId="14" fontId="2" numFmtId="0" xfId="0" applyBorder="1" applyFill="1" applyFont="1"/>
    <xf borderId="49" fillId="14" fontId="2" numFmtId="0" xfId="0" applyBorder="1" applyFill="1" applyFont="1"/>
    <xf borderId="49" fillId="14" fontId="2" numFmtId="0" xfId="0" applyAlignment="1" applyBorder="1" applyFill="1" applyFont="1">
      <alignment readingOrder="0"/>
    </xf>
    <xf borderId="50" fillId="14" fontId="2" numFmtId="0" xfId="0" applyBorder="1" applyFill="1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2.0"/>
    <col customWidth="1" min="3" max="3" width="19.13"/>
    <col customWidth="1" min="6" max="6" width="17.25"/>
    <col customWidth="1" min="7" max="7" width="17.0"/>
    <col customWidth="1" min="8" max="8" width="28.38"/>
    <col customWidth="1" min="9" max="9" width="14.63"/>
    <col customWidth="1" min="11" max="11" width="18.0"/>
  </cols>
  <sheetData>
    <row r="1">
      <c r="A1" s="1"/>
      <c r="B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/>
      <c r="B4" s="5" t="s">
        <v>2</v>
      </c>
      <c r="C4" s="6" t="s">
        <v>3</v>
      </c>
      <c r="D4" s="7"/>
      <c r="E4" s="8"/>
      <c r="F4" s="9" t="s">
        <v>4</v>
      </c>
      <c r="G4" s="6" t="s">
        <v>5</v>
      </c>
      <c r="H4" s="8"/>
      <c r="I4" s="9" t="s">
        <v>6</v>
      </c>
      <c r="J4" s="10" t="s">
        <v>7</v>
      </c>
      <c r="K4" s="1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/>
      <c r="B5" s="12" t="s">
        <v>8</v>
      </c>
      <c r="C5" s="13" t="s">
        <v>9</v>
      </c>
      <c r="D5" s="14"/>
      <c r="E5" s="15"/>
      <c r="F5" s="16" t="s">
        <v>10</v>
      </c>
      <c r="G5" s="13" t="s">
        <v>11</v>
      </c>
      <c r="H5" s="15"/>
      <c r="I5" s="16" t="s">
        <v>12</v>
      </c>
      <c r="J5" s="17">
        <v>46299.0</v>
      </c>
      <c r="K5" s="1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19" t="s">
        <v>13</v>
      </c>
      <c r="C6" s="20" t="s">
        <v>14</v>
      </c>
      <c r="D6" s="21"/>
      <c r="E6" s="21"/>
      <c r="F6" s="21"/>
      <c r="G6" s="21"/>
      <c r="H6" s="21"/>
      <c r="I6" s="21"/>
      <c r="J6" s="21"/>
      <c r="K6" s="2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"/>
      <c r="B8" s="24" t="s">
        <v>15</v>
      </c>
      <c r="C8" s="25"/>
      <c r="D8" s="26" t="s">
        <v>16</v>
      </c>
      <c r="E8" s="27"/>
      <c r="F8" s="28" t="s">
        <v>17</v>
      </c>
      <c r="G8" s="29"/>
      <c r="H8" s="30" t="s">
        <v>18</v>
      </c>
      <c r="I8" s="31"/>
      <c r="J8" s="32" t="s">
        <v>19</v>
      </c>
      <c r="K8" s="3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4"/>
      <c r="B9" s="35">
        <f>COUNTA(C30:C50)</f>
        <v>0</v>
      </c>
      <c r="C9" s="36"/>
      <c r="D9" s="37">
        <f>COUNTIF(J:J, "Aprobado")</f>
        <v>3</v>
      </c>
      <c r="E9" s="38"/>
      <c r="F9" s="39">
        <f>COUNTIF(J:J, "Fallido")</f>
        <v>2</v>
      </c>
      <c r="G9" s="40"/>
      <c r="H9" s="41">
        <f>COUNTIF(J:J, "Bloqueado")</f>
        <v>0</v>
      </c>
      <c r="I9" s="42"/>
      <c r="J9" s="43">
        <f>IF(COUNTA(C30:C50)=0, 0, COUNTIF(J:J, "Aprobado")/COUNTA(C30:C50))</f>
        <v>0</v>
      </c>
      <c r="K9" s="4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46" t="s">
        <v>20</v>
      </c>
      <c r="C10" s="47"/>
      <c r="D10" s="48" t="s">
        <v>21</v>
      </c>
      <c r="E10" s="49"/>
      <c r="F10" s="50" t="s">
        <v>22</v>
      </c>
      <c r="G10" s="51"/>
      <c r="H10" s="52" t="s">
        <v>23</v>
      </c>
      <c r="I10" s="53"/>
      <c r="J10" s="54" t="s">
        <v>24</v>
      </c>
      <c r="K10" s="5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6" t="s">
        <v>25</v>
      </c>
      <c r="B12" s="56" t="s">
        <v>26</v>
      </c>
      <c r="C12" s="57" t="s">
        <v>27</v>
      </c>
      <c r="D12" s="58" t="s">
        <v>28</v>
      </c>
      <c r="E12" s="58" t="s">
        <v>29</v>
      </c>
      <c r="F12" s="58" t="s">
        <v>30</v>
      </c>
      <c r="G12" s="58" t="s">
        <v>31</v>
      </c>
      <c r="H12" s="58" t="s">
        <v>32</v>
      </c>
      <c r="I12" s="58" t="s">
        <v>33</v>
      </c>
      <c r="J12" s="58" t="s">
        <v>34</v>
      </c>
      <c r="K12" s="59" t="s">
        <v>35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0" t="s">
        <v>36</v>
      </c>
      <c r="B13" s="60">
        <v>1.0</v>
      </c>
      <c r="C13" s="61" t="s">
        <v>37</v>
      </c>
      <c r="D13" s="62" t="s">
        <v>38</v>
      </c>
      <c r="E13" s="63" t="s">
        <v>39</v>
      </c>
      <c r="F13" s="64" t="s">
        <v>40</v>
      </c>
      <c r="G13" s="64" t="s">
        <v>41</v>
      </c>
      <c r="H13" s="64" t="s">
        <v>42</v>
      </c>
      <c r="I13" s="64" t="s">
        <v>43</v>
      </c>
      <c r="J13" s="65" t="s">
        <v>44</v>
      </c>
      <c r="K13" s="6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0" t="s">
        <v>36</v>
      </c>
      <c r="B14" s="60">
        <v>2.0</v>
      </c>
      <c r="C14" s="67" t="s">
        <v>37</v>
      </c>
      <c r="D14" s="62" t="s">
        <v>38</v>
      </c>
      <c r="E14" s="68" t="s">
        <v>39</v>
      </c>
      <c r="F14" s="64" t="s">
        <v>40</v>
      </c>
      <c r="G14" s="64" t="s">
        <v>45</v>
      </c>
      <c r="H14" s="68" t="s">
        <v>46</v>
      </c>
      <c r="I14" s="68" t="s">
        <v>47</v>
      </c>
      <c r="J14" s="65" t="s">
        <v>44</v>
      </c>
      <c r="K14" s="69" t="s">
        <v>48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0" t="s">
        <v>36</v>
      </c>
      <c r="B15" s="60">
        <v>3.0</v>
      </c>
      <c r="C15" s="61" t="s">
        <v>37</v>
      </c>
      <c r="D15" s="62" t="s">
        <v>38</v>
      </c>
      <c r="E15" s="64" t="s">
        <v>39</v>
      </c>
      <c r="F15" s="64" t="s">
        <v>40</v>
      </c>
      <c r="G15" s="64" t="s">
        <v>49</v>
      </c>
      <c r="H15" s="64" t="s">
        <v>46</v>
      </c>
      <c r="I15" s="64" t="s">
        <v>50</v>
      </c>
      <c r="J15" s="70" t="s">
        <v>51</v>
      </c>
      <c r="K15" s="71" t="s">
        <v>52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0" t="s">
        <v>36</v>
      </c>
      <c r="B16" s="60"/>
      <c r="C16" s="68" t="s">
        <v>53</v>
      </c>
      <c r="D16" s="72" t="s">
        <v>54</v>
      </c>
      <c r="E16" s="68" t="s">
        <v>39</v>
      </c>
      <c r="F16" s="64" t="s">
        <v>40</v>
      </c>
      <c r="G16" s="64" t="s">
        <v>55</v>
      </c>
      <c r="H16" s="68" t="s">
        <v>56</v>
      </c>
      <c r="I16" s="68" t="s">
        <v>57</v>
      </c>
      <c r="J16" s="65" t="s">
        <v>44</v>
      </c>
      <c r="K16" s="7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60"/>
      <c r="C17" s="68" t="s">
        <v>58</v>
      </c>
      <c r="D17" s="75" t="s">
        <v>38</v>
      </c>
      <c r="E17" s="64" t="s">
        <v>39</v>
      </c>
      <c r="F17" s="64" t="s">
        <v>40</v>
      </c>
      <c r="G17" s="64" t="s">
        <v>59</v>
      </c>
      <c r="H17" s="76" t="s">
        <v>60</v>
      </c>
      <c r="I17" s="64" t="s">
        <v>61</v>
      </c>
      <c r="J17" s="70" t="s">
        <v>51</v>
      </c>
      <c r="K17" s="6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60"/>
      <c r="C18" s="77"/>
      <c r="D18" s="62"/>
      <c r="E18" s="78"/>
      <c r="F18" s="78"/>
      <c r="G18" s="78"/>
      <c r="H18" s="79"/>
      <c r="I18" s="78"/>
      <c r="J18" s="78"/>
      <c r="K18" s="7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60"/>
      <c r="C19" s="63"/>
      <c r="D19" s="80"/>
      <c r="E19" s="81"/>
      <c r="F19" s="81"/>
      <c r="G19" s="81"/>
      <c r="H19" s="82"/>
      <c r="I19" s="81"/>
      <c r="J19" s="81"/>
      <c r="K19" s="6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3"/>
      <c r="C20" s="84"/>
      <c r="D20" s="84"/>
      <c r="E20" s="84"/>
      <c r="F20" s="84"/>
      <c r="G20" s="84"/>
      <c r="H20" s="85"/>
      <c r="I20" s="84"/>
      <c r="J20" s="84"/>
      <c r="K20" s="8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3"/>
      <c r="C21" s="84"/>
      <c r="D21" s="84"/>
      <c r="E21" s="84"/>
      <c r="F21" s="84"/>
      <c r="G21" s="84"/>
      <c r="H21" s="85"/>
      <c r="I21" s="84"/>
      <c r="J21" s="84"/>
      <c r="K21" s="8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3"/>
      <c r="C22" s="84"/>
      <c r="D22" s="84"/>
      <c r="E22" s="84"/>
      <c r="F22" s="84"/>
      <c r="G22" s="84"/>
      <c r="H22" s="85"/>
      <c r="I22" s="84"/>
      <c r="J22" s="84"/>
      <c r="K22" s="8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3"/>
      <c r="C23" s="84"/>
      <c r="D23" s="84"/>
      <c r="E23" s="84"/>
      <c r="F23" s="84"/>
      <c r="G23" s="84"/>
      <c r="H23" s="85"/>
      <c r="I23" s="84"/>
      <c r="J23" s="84"/>
      <c r="K23" s="8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3"/>
      <c r="C24" s="84"/>
      <c r="D24" s="84"/>
      <c r="E24" s="84"/>
      <c r="F24" s="84"/>
      <c r="G24" s="84"/>
      <c r="H24" s="85"/>
      <c r="I24" s="84"/>
      <c r="J24" s="84"/>
      <c r="K24" s="8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3"/>
      <c r="C25" s="84"/>
      <c r="D25" s="84"/>
      <c r="E25" s="84"/>
      <c r="F25" s="84"/>
      <c r="G25" s="84"/>
      <c r="H25" s="85"/>
      <c r="I25" s="84"/>
      <c r="J25" s="84"/>
      <c r="K25" s="8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3"/>
      <c r="C26" s="84"/>
      <c r="D26" s="84"/>
      <c r="E26" s="84"/>
      <c r="F26" s="84"/>
      <c r="G26" s="84"/>
      <c r="H26" s="85"/>
      <c r="I26" s="84"/>
      <c r="J26" s="84"/>
      <c r="K26" s="8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3"/>
      <c r="C27" s="84"/>
      <c r="D27" s="84"/>
      <c r="E27" s="84"/>
      <c r="F27" s="84"/>
      <c r="G27" s="84"/>
      <c r="H27" s="85"/>
      <c r="I27" s="84"/>
      <c r="J27" s="84"/>
      <c r="K27" s="8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3"/>
      <c r="C28" s="84"/>
      <c r="D28" s="84"/>
      <c r="E28" s="84"/>
      <c r="F28" s="84"/>
      <c r="G28" s="84"/>
      <c r="H28" s="85"/>
      <c r="I28" s="84"/>
      <c r="J28" s="84"/>
      <c r="K28" s="8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C29" s="88"/>
      <c r="D29" s="88"/>
      <c r="E29" s="88"/>
      <c r="F29" s="88"/>
      <c r="G29" s="88"/>
      <c r="H29" s="89"/>
      <c r="I29" s="88"/>
      <c r="J29" s="88"/>
      <c r="K29" s="9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9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9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9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9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9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9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9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9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9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9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9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91" t="s">
        <v>62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91" t="s">
        <v>63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91" t="s">
        <v>64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mergeCells count="24">
    <mergeCell ref="B1:K1"/>
    <mergeCell ref="B2:K2"/>
    <mergeCell ref="C4:E4"/>
    <mergeCell ref="G4:H4"/>
    <mergeCell ref="J4:K4"/>
    <mergeCell ref="G5:H5"/>
    <mergeCell ref="J5:K5"/>
    <mergeCell ref="C5:E5"/>
    <mergeCell ref="C6:K6"/>
    <mergeCell ref="B8:C8"/>
    <mergeCell ref="D8:E8"/>
    <mergeCell ref="F8:G8"/>
    <mergeCell ref="H8:I8"/>
    <mergeCell ref="J8:K8"/>
    <mergeCell ref="F10:G10"/>
    <mergeCell ref="H10:I10"/>
    <mergeCell ref="B9:C9"/>
    <mergeCell ref="D9:E9"/>
    <mergeCell ref="F9:G9"/>
    <mergeCell ref="H9:I9"/>
    <mergeCell ref="J9:K9"/>
    <mergeCell ref="B10:C10"/>
    <mergeCell ref="D10:E10"/>
    <mergeCell ref="J10:K10"/>
  </mergeCells>
  <dataValidations>
    <dataValidation type="list" allowBlank="1" showErrorMessage="1" sqref="D13:D29">
      <formula1>"Alta,Media,Baja"</formula1>
    </dataValidation>
    <dataValidation type="list" allowBlank="1" showErrorMessage="1" sqref="E13:E29">
      <formula1>"Funcional,Seguridad,Integración,Usabilidad,Regresión,Límites"</formula1>
    </dataValidation>
    <dataValidation type="list" allowBlank="1" showErrorMessage="1" sqref="J13:J29">
      <formula1>"Aprobado,Fallido,Bloqueado,Pendiente"</formula1>
    </dataValidation>
  </dataValidations>
  <drawing r:id="rId1"/>
</worksheet>
</file>