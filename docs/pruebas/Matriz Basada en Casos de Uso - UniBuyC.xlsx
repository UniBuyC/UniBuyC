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5">
    <font>
      <name val="Arial"/>
      <color rgb="FF000000"/>
      <sz val="10"/>
      <scheme val="minor"/>
    </font>
    <font>
      <name val="Roboto"/>
      <b val="1"/>
      <color rgb="FFFFFFFF"/>
      <sz val="13"/>
    </font>
    <font>
      <name val="Arial"/>
      <color theme="1"/>
    </font>
    <font>
      <name val="Roboto"/>
      <b val="1"/>
      <color rgb="FFE5EDFF"/>
    </font>
    <font>
      <name val="Arial"/>
      <b val="1"/>
      <color rgb="FF1B365D"/>
    </font>
    <font>
      <name val="Roboto"/>
      <color rgb="FF1E2838"/>
    </font>
    <font/>
    <font>
      <name val="Roboto"/>
      <b val="1"/>
      <color theme="1"/>
      <sz val="9"/>
    </font>
    <font>
      <name val="Roboto"/>
      <b val="1"/>
      <color rgb="FF1C4487"/>
      <sz val="18"/>
    </font>
    <font>
      <name val="Roboto"/>
      <b val="1"/>
      <color rgb="FF117233"/>
      <sz val="18"/>
    </font>
    <font>
      <name val="Roboto"/>
      <b val="1"/>
      <color rgb="FFC4211E"/>
      <sz val="18"/>
    </font>
    <font>
      <name val="Roboto"/>
      <b val="1"/>
      <color rgb="FFBF6B00"/>
      <sz val="18"/>
    </font>
    <font>
      <name val="Roboto"/>
      <b val="1"/>
      <color rgb="FF1972E8"/>
      <sz val="18"/>
    </font>
    <font>
      <name val="Roboto"/>
      <color rgb="FF667284"/>
      <sz val="8"/>
    </font>
    <font>
      <name val="Roboto"/>
      <b val="1"/>
      <color rgb="FFFFFFFF"/>
    </font>
    <font>
      <name val="Arial"/>
      <b val="1"/>
      <color rgb="FF1C4587"/>
      <sz val="9"/>
      <scheme val="minor"/>
    </font>
    <font>
      <name val="Roboto"/>
      <b val="1"/>
      <color rgb="FF262D38"/>
      <sz val="9"/>
    </font>
    <font>
      <name val="Roboto"/>
      <b val="1"/>
      <color rgb="FFC5211F"/>
      <sz val="9"/>
    </font>
    <font>
      <name val="Roboto"/>
      <color rgb="FF262D38"/>
      <sz val="9"/>
    </font>
    <font>
      <name val="Roboto"/>
      <b val="1"/>
      <color rgb="FF137333"/>
      <sz val="9"/>
    </font>
    <font>
      <name val="Roboto"/>
      <b val="1"/>
      <color rgb="FFAF5F00"/>
      <sz val="9"/>
    </font>
    <font>
      <name val="Arial"/>
      <b val="1"/>
      <color rgb="FF1C4587"/>
      <sz val="10"/>
    </font>
    <font>
      <name val="Arial"/>
      <color theme="1"/>
      <sz val="9"/>
    </font>
    <font>
      <name val="Roboto"/>
      <b val="1"/>
      <color rgb="FF1867D2"/>
      <sz val="9"/>
    </font>
    <font>
      <name val="Arial"/>
      <b val="1"/>
      <color rgb="FF1C4587"/>
      <sz val="9"/>
    </font>
  </fonts>
  <fills count="19">
    <fill>
      <patternFill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F2F7FF"/>
        <bgColor rgb="FFF2F7FF"/>
      </patternFill>
    </fill>
    <fill>
      <patternFill patternType="solid">
        <fgColor rgb="FFEAF7ED"/>
        <bgColor rgb="FFEAF7ED"/>
      </patternFill>
    </fill>
    <fill>
      <patternFill patternType="solid">
        <fgColor rgb="FFFCEDED"/>
        <bgColor rgb="FFFCEDED"/>
      </patternFill>
    </fill>
    <fill>
      <patternFill patternType="solid">
        <fgColor rgb="FFFFF7E5"/>
        <bgColor rgb="FFFFF7E5"/>
      </patternFill>
    </fill>
    <fill>
      <patternFill patternType="solid">
        <fgColor rgb="FFEDF2FF"/>
        <bgColor rgb="FFEDF2FF"/>
      </patternFill>
    </fill>
    <fill>
      <patternFill patternType="solid">
        <fgColor rgb="FFFBE8E6"/>
        <bgColor rgb="FFFBE8E6"/>
      </patternFill>
    </fill>
    <fill>
      <patternFill patternType="solid">
        <fgColor rgb="FFE6F4EA"/>
        <bgColor rgb="FFE6F4EA"/>
      </patternFill>
    </fill>
    <fill>
      <patternFill patternType="solid">
        <fgColor rgb="FFF8FAFC"/>
        <bgColor rgb="FFF8FAFC"/>
      </patternFill>
    </fill>
    <fill>
      <patternFill patternType="solid">
        <fgColor rgb="FFFDF7DF"/>
        <bgColor rgb="FFFDF7DF"/>
      </patternFill>
    </fill>
    <fill>
      <patternFill patternType="solid">
        <fgColor rgb="FFE8EFFD"/>
        <bgColor rgb="FFE8EFFD"/>
      </patternFill>
    </fill>
    <fill>
      <patternFill patternType="solid">
        <fgColor rgb="FFFFFFFF"/>
        <bgColor rgb="FFFFFFFF"/>
      </patternFill>
    </fill>
    <fill>
      <patternFill patternType="solid">
        <fgColor rgb="FFFBE8E6"/>
      </patternFill>
    </fill>
    <fill>
      <patternFill patternType="solid">
        <fgColor rgb="FFE6F4EA"/>
      </patternFill>
    </fill>
    <fill>
      <patternFill patternType="solid">
        <fgColor rgb="FFF8FAFC"/>
      </patternFill>
    </fill>
    <fill>
      <patternFill patternType="solid">
        <fgColor rgb="FFFDF7DF"/>
      </patternFill>
    </fill>
  </fills>
  <borders count="64">
    <border/>
    <border>
      <left style="thin">
        <color rgb="FFD1D8E2"/>
      </left>
      <right style="thin">
        <color rgb="FFE0E5ED"/>
      </right>
      <top style="thin">
        <color rgb="FFD1D8E2"/>
      </top>
      <bottom style="thin">
        <color rgb="FFE0E5ED"/>
      </bottom>
    </border>
    <border>
      <left style="thin">
        <color rgb="FFE0E5ED"/>
      </left>
      <top style="thin">
        <color rgb="FFD1D8E2"/>
      </top>
      <bottom style="thin">
        <color rgb="FFE0E5ED"/>
      </bottom>
    </border>
    <border>
      <top style="thin">
        <color rgb="FFD1D8E2"/>
      </top>
      <bottom style="thin">
        <color rgb="FFE0E5ED"/>
      </bottom>
    </border>
    <border>
      <right style="thin">
        <color rgb="FFE0E5ED"/>
      </right>
      <top style="thin">
        <color rgb="FFD1D8E2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D1D8E2"/>
      </top>
      <bottom style="thin">
        <color rgb="FFE0E5ED"/>
      </bottom>
    </border>
    <border>
      <right style="thin">
        <color rgb="FFD1D8E2"/>
      </right>
      <top style="thin">
        <color rgb="FFD1D8E2"/>
      </top>
      <bottom style="thin">
        <color rgb="FFE0E5ED"/>
      </bottom>
    </border>
    <border>
      <left style="thin">
        <color rgb="FFD1D8E2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top style="thin">
        <color rgb="FFE0E5ED"/>
      </top>
      <bottom style="thin">
        <color rgb="FFE0E5ED"/>
      </bottom>
    </border>
    <border>
      <top style="thin">
        <color rgb="FFE0E5ED"/>
      </top>
      <bottom style="thin">
        <color rgb="FFE0E5ED"/>
      </bottom>
    </border>
    <border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thin">
        <color rgb="FFE0E5ED"/>
      </bottom>
    </border>
    <border>
      <right style="thin">
        <color rgb="FFD1D8E2"/>
      </right>
      <top style="thin">
        <color rgb="FFE0E5ED"/>
      </top>
      <bottom style="thin">
        <color rgb="FFE0E5ED"/>
      </bottom>
    </border>
    <border>
      <left style="thin">
        <color rgb="FFD1D8E2"/>
      </left>
      <right style="thin">
        <color rgb="FFE0E5ED"/>
      </right>
      <top style="thin">
        <color rgb="FFE0E5ED"/>
      </top>
      <bottom style="thin">
        <color rgb="FFD1D8E2"/>
      </bottom>
    </border>
    <border>
      <left style="thin">
        <color rgb="FFE0E5ED"/>
      </left>
      <top style="thin">
        <color rgb="FFE0E5ED"/>
      </top>
      <bottom style="thin">
        <color rgb="FFD1D8E2"/>
      </bottom>
    </border>
    <border>
      <top style="thin">
        <color rgb="FFE0E5ED"/>
      </top>
      <bottom style="thin">
        <color rgb="FFD1D8E2"/>
      </bottom>
    </border>
    <border>
      <right style="thin">
        <color rgb="FFD1D8E2"/>
      </right>
      <top style="thin">
        <color rgb="FFE0E5ED"/>
      </top>
      <bottom style="thin">
        <color rgb="FFD1D8E2"/>
      </bottom>
    </border>
    <border>
      <left style="thin">
        <color rgb="FFCCD8EA"/>
      </left>
      <top style="thin">
        <color rgb="FFCCD8EA"/>
      </top>
    </border>
    <border>
      <right style="thin">
        <color rgb="FFCCD8EA"/>
      </right>
      <top style="thin">
        <color rgb="FFCCD8EA"/>
      </top>
    </border>
    <border>
      <top style="thin">
        <color rgb="FFBFE0C6"/>
      </top>
    </border>
    <border>
      <right style="thin">
        <color rgb="FFBFE0C6"/>
      </right>
      <top style="thin">
        <color rgb="FFBFE0C6"/>
      </top>
    </border>
    <border>
      <top style="thin">
        <color rgb="FFF2CCCC"/>
      </top>
    </border>
    <border>
      <right style="thin">
        <color rgb="FFF2CCCC"/>
      </right>
      <top style="thin">
        <color rgb="FFF2CCCC"/>
      </top>
    </border>
    <border>
      <top style="thin">
        <color rgb="FFF2E0B2"/>
      </top>
    </border>
    <border>
      <right style="thin">
        <color rgb="FFF2E0B2"/>
      </right>
      <top style="thin">
        <color rgb="FFF2E0B2"/>
      </top>
    </border>
    <border>
      <top style="thin">
        <color rgb="FFCCD8F2"/>
      </top>
    </border>
    <border>
      <right style="thin">
        <color rgb="FFCCD8F2"/>
      </right>
      <top style="thin">
        <color rgb="FFCCD8F2"/>
      </top>
    </border>
    <border>
      <left style="thin">
        <color rgb="FFCCD8EA"/>
      </left>
    </border>
    <border>
      <right style="thin">
        <color rgb="FFCCD8EA"/>
      </right>
    </border>
    <border>
      <right style="thin">
        <color rgb="FFBFE0C6"/>
      </right>
    </border>
    <border>
      <right style="thin">
        <color rgb="FFF2CCCC"/>
      </right>
    </border>
    <border>
      <right style="thin">
        <color rgb="FFF2E0B2"/>
      </right>
    </border>
    <border>
      <right style="thin">
        <color rgb="FFCCD8F2"/>
      </right>
    </border>
    <border>
      <left style="thin">
        <color rgb="FFCCD8EA"/>
      </left>
      <bottom style="thin">
        <color rgb="FFCCD8EA"/>
      </bottom>
    </border>
    <border>
      <right style="thin">
        <color rgb="FFCCD8EA"/>
      </right>
      <bottom style="thin">
        <color rgb="FFCCD8EA"/>
      </bottom>
    </border>
    <border>
      <bottom style="thin">
        <color rgb="FFBFE0C6"/>
      </bottom>
    </border>
    <border>
      <right style="thin">
        <color rgb="FFBFE0C6"/>
      </right>
      <bottom style="thin">
        <color rgb="FFBFE0C6"/>
      </bottom>
    </border>
    <border>
      <bottom style="thin">
        <color rgb="FFF2CCCC"/>
      </bottom>
    </border>
    <border>
      <right style="thin">
        <color rgb="FFF2CCCC"/>
      </right>
      <bottom style="thin">
        <color rgb="FFF2CCCC"/>
      </bottom>
    </border>
    <border>
      <bottom style="thin">
        <color rgb="FFF2E0B2"/>
      </bottom>
    </border>
    <border>
      <right style="thin">
        <color rgb="FFF2E0B2"/>
      </right>
      <bottom style="thin">
        <color rgb="FFF2E0B2"/>
      </bottom>
    </border>
    <border>
      <bottom style="thin">
        <color rgb="FFCCD8F2"/>
      </bottom>
    </border>
    <border>
      <right style="thin">
        <color rgb="FFCCD8F2"/>
      </right>
      <bottom style="thin">
        <color rgb="FFCCD8F2"/>
      </bottom>
    </border>
    <border>
      <left style="thin">
        <color rgb="FFBFCCD8"/>
      </left>
      <right style="thin">
        <color rgb="FFE0E5ED"/>
      </right>
      <top style="thin">
        <color rgb="FF1B365D"/>
      </top>
      <bottom style="thin">
        <color rgb="FFE0E5ED"/>
      </bottom>
    </border>
    <border>
      <left style="thin">
        <color rgb="FFE0E5ED"/>
      </left>
      <right style="thin">
        <color rgb="FFE0E5ED"/>
      </right>
      <top style="thin">
        <color rgb="FF1B365D"/>
      </top>
      <bottom style="thin">
        <color rgb="FFE0E5ED"/>
      </bottom>
    </border>
    <border>
      <left style="thin">
        <color rgb="FFE0E5ED"/>
      </left>
      <right style="thin">
        <color rgb="FFBFCCD8"/>
      </right>
      <top style="thin">
        <color rgb="FF1B365D"/>
      </top>
      <bottom style="thin">
        <color rgb="FFE0E5ED"/>
      </bottom>
    </border>
    <border>
      <left style="thin">
        <color rgb="FFE0E5ED"/>
      </left>
      <right style="thin">
        <color rgb="FFBFCCD8"/>
      </right>
      <top style="thin">
        <color rgb="FFE0E5ED"/>
      </top>
      <bottom style="thin">
        <color rgb="FFE0E5ED"/>
      </bottom>
    </border>
    <border>
      <left style="thin">
        <color rgb="FFBFCCD8"/>
      </left>
      <right style="thin">
        <color rgb="FFE0E5ED"/>
      </right>
      <top style="thin">
        <color rgb="FFE0E5ED"/>
      </top>
      <bottom style="thin">
        <color rgb="FFE0E5ED"/>
      </bottom>
    </border>
    <border>
      <left style="thin">
        <color rgb="FFBFCCD8"/>
      </left>
      <right style="thin">
        <color rgb="FFE0E5ED"/>
      </right>
      <top style="thin">
        <color rgb="FFE0E5ED"/>
      </top>
      <bottom style="thin">
        <color rgb="FFBFCCD8"/>
      </bottom>
    </border>
    <border>
      <left style="thin">
        <color rgb="FFE0E5ED"/>
      </left>
      <right style="thin">
        <color rgb="FFE0E5ED"/>
      </right>
      <top style="thin">
        <color rgb="FFE0E5ED"/>
      </top>
      <bottom style="thin">
        <color rgb="FFBFCCD8"/>
      </bottom>
    </border>
    <border>
      <left style="thin">
        <color rgb="FFE0E5ED"/>
      </left>
      <right style="thin">
        <color rgb="FFBFCCD8"/>
      </right>
      <top style="thin">
        <color rgb="FFE0E5ED"/>
      </top>
      <bottom style="thin">
        <color rgb="FFBFCCD8"/>
      </bottom>
    </border>
    <border>
      <top style="thin">
        <color rgb="FFD1D8E2"/>
      </top>
    </border>
    <border>
      <right style="thin">
        <color rgb="FFE0E5ED"/>
      </right>
      <top style="thin">
        <color rgb="FFD1D8E2"/>
      </top>
    </border>
    <border>
      <left style="thin">
        <color rgb="FFE0E5ED"/>
      </left>
      <right style="thin">
        <color rgb="FFD1D8E2"/>
      </right>
      <top style="thin">
        <color rgb="FFD1D8E2"/>
      </top>
      <bottom style="thin">
        <color rgb="FFE0E5ED"/>
      </bottom>
    </border>
    <border>
      <right style="thin">
        <color rgb="FFD1D8E2"/>
      </right>
      <top style="thin">
        <color rgb="FFD1D8E2"/>
      </top>
    </border>
    <border>
      <top style="thin">
        <color rgb="FFE0E5ED"/>
      </top>
    </border>
    <border>
      <right style="thin">
        <color rgb="FFE0E5ED"/>
      </right>
      <top style="thin">
        <color rgb="FFE0E5ED"/>
      </top>
    </border>
    <border>
      <left style="thin">
        <color rgb="FFE0E5ED"/>
      </left>
      <right style="thin">
        <color rgb="FFD1D8E2"/>
      </right>
      <top style="thin">
        <color rgb="FFE0E5ED"/>
      </top>
      <bottom style="thin">
        <color rgb="FFE0E5ED"/>
      </bottom>
    </border>
    <border>
      <right style="thin">
        <color rgb="FFD1D8E2"/>
      </right>
      <top style="thin">
        <color rgb="FFE0E5ED"/>
      </top>
    </border>
    <border>
      <left style="thin">
        <color rgb="FFE0E5ED"/>
      </left>
      <right style="thin">
        <color rgb="FFD1D8E2"/>
      </right>
      <top style="thin">
        <color rgb="FFE0E5ED"/>
      </top>
      <bottom style="thin">
        <color rgb="FFD1D8E2"/>
      </bottom>
    </border>
    <border>
      <left style="thin">
        <color rgb="FFCCD8EA"/>
      </left>
      <right style="thin">
        <color rgb="FFCCD8EA"/>
      </right>
      <top style="thin">
        <color rgb="FFCCD8EA"/>
      </top>
    </border>
    <border>
      <top style="thin">
        <color rgb="FFCCD8EA"/>
      </top>
    </border>
    <border>
      <left style="thin">
        <color rgb="FFCCD8EA"/>
      </left>
      <right style="thin">
        <color rgb="FFCCD8EA"/>
      </right>
    </border>
    <border>
      <left style="thin">
        <color rgb="FFCCD8EA"/>
      </left>
      <right style="thin">
        <color rgb="FFCCD8EA"/>
      </right>
      <bottom style="thin">
        <color rgb="FFCCD8EA"/>
      </bottom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4" fillId="3" borderId="1" pivotButton="0" quotePrefix="0" xfId="0"/>
    <xf numFmtId="0" fontId="5" fillId="3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4" fillId="3" borderId="5" pivotButton="0" quotePrefix="0" xfId="0"/>
    <xf numFmtId="0" fontId="5" fillId="3" borderId="2" pivotButton="0" quotePrefix="0" xfId="0"/>
    <xf numFmtId="0" fontId="6" fillId="0" borderId="6" pivotButton="0" quotePrefix="0" xfId="0"/>
    <xf numFmtId="0" fontId="4" fillId="3" borderId="7" pivotButton="0" quotePrefix="0" xfId="0"/>
    <xf numFmtId="0" fontId="5" fillId="3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4" fillId="3" borderId="11" pivotButton="0" quotePrefix="0" xfId="0"/>
    <xf numFmtId="164" fontId="5" fillId="3" borderId="8" applyAlignment="1" pivotButton="0" quotePrefix="0" xfId="0">
      <alignment horizontal="right"/>
    </xf>
    <xf numFmtId="0" fontId="6" fillId="0" borderId="12" pivotButton="0" quotePrefix="0" xfId="0"/>
    <xf numFmtId="0" fontId="4" fillId="3" borderId="13" pivotButton="0" quotePrefix="0" xfId="0"/>
    <xf numFmtId="0" fontId="5" fillId="3" borderId="14" pivotButton="0" quotePrefix="0" xfId="0"/>
    <xf numFmtId="0" fontId="6" fillId="0" borderId="15" pivotButton="0" quotePrefix="0" xfId="0"/>
    <xf numFmtId="0" fontId="6" fillId="0" borderId="16" pivotButton="0" quotePrefix="0" xfId="0"/>
    <xf numFmtId="0" fontId="7" fillId="4" borderId="0" applyAlignment="1" pivotButton="0" quotePrefix="0" xfId="0">
      <alignment horizontal="center"/>
    </xf>
    <xf numFmtId="0" fontId="7" fillId="4" borderId="17" applyAlignment="1" pivotButton="0" quotePrefix="0" xfId="0">
      <alignment horizontal="center"/>
    </xf>
    <xf numFmtId="0" fontId="6" fillId="0" borderId="18" pivotButton="0" quotePrefix="0" xfId="0"/>
    <xf numFmtId="0" fontId="7" fillId="5" borderId="19" applyAlignment="1" pivotButton="0" quotePrefix="0" xfId="0">
      <alignment horizontal="center"/>
    </xf>
    <xf numFmtId="0" fontId="6" fillId="0" borderId="20" pivotButton="0" quotePrefix="0" xfId="0"/>
    <xf numFmtId="0" fontId="7" fillId="6" borderId="21" applyAlignment="1" pivotButton="0" quotePrefix="0" xfId="0">
      <alignment horizontal="center"/>
    </xf>
    <xf numFmtId="0" fontId="6" fillId="0" borderId="22" pivotButton="0" quotePrefix="0" xfId="0"/>
    <xf numFmtId="0" fontId="7" fillId="7" borderId="23" applyAlignment="1" pivotButton="0" quotePrefix="0" xfId="0">
      <alignment horizontal="center"/>
    </xf>
    <xf numFmtId="0" fontId="6" fillId="0" borderId="24" pivotButton="0" quotePrefix="0" xfId="0"/>
    <xf numFmtId="0" fontId="7" fillId="8" borderId="25" applyAlignment="1" pivotButton="0" quotePrefix="0" xfId="0">
      <alignment horizontal="center"/>
    </xf>
    <xf numFmtId="0" fontId="6" fillId="0" borderId="26" pivotButton="0" quotePrefix="0" xfId="0"/>
    <xf numFmtId="0" fontId="8" fillId="4" borderId="0" applyAlignment="1" pivotButton="0" quotePrefix="0" xfId="0">
      <alignment horizontal="center"/>
    </xf>
    <xf numFmtId="0" fontId="8" fillId="4" borderId="27" applyAlignment="1" pivotButton="0" quotePrefix="0" xfId="0">
      <alignment horizontal="center"/>
    </xf>
    <xf numFmtId="0" fontId="6" fillId="0" borderId="28" pivotButton="0" quotePrefix="0" xfId="0"/>
    <xf numFmtId="0" fontId="9" fillId="5" borderId="0" applyAlignment="1" pivotButton="0" quotePrefix="0" xfId="0">
      <alignment horizontal="center"/>
    </xf>
    <xf numFmtId="0" fontId="6" fillId="0" borderId="29" pivotButton="0" quotePrefix="0" xfId="0"/>
    <xf numFmtId="0" fontId="10" fillId="6" borderId="0" applyAlignment="1" pivotButton="0" quotePrefix="0" xfId="0">
      <alignment horizontal="center"/>
    </xf>
    <xf numFmtId="0" fontId="6" fillId="0" borderId="30" pivotButton="0" quotePrefix="0" xfId="0"/>
    <xf numFmtId="0" fontId="11" fillId="7" borderId="0" applyAlignment="1" pivotButton="0" quotePrefix="0" xfId="0">
      <alignment horizontal="center"/>
    </xf>
    <xf numFmtId="0" fontId="6" fillId="0" borderId="31" pivotButton="0" quotePrefix="0" xfId="0"/>
    <xf numFmtId="165" fontId="12" fillId="8" borderId="0" applyAlignment="1" pivotButton="0" quotePrefix="0" xfId="0">
      <alignment horizontal="center"/>
    </xf>
    <xf numFmtId="0" fontId="6" fillId="0" borderId="32" pivotButton="0" quotePrefix="0" xfId="0"/>
    <xf numFmtId="0" fontId="13" fillId="4" borderId="0" applyAlignment="1" pivotButton="0" quotePrefix="0" xfId="0">
      <alignment horizontal="center"/>
    </xf>
    <xf numFmtId="0" fontId="13" fillId="4" borderId="33" applyAlignment="1" pivotButton="0" quotePrefix="0" xfId="0">
      <alignment horizontal="center"/>
    </xf>
    <xf numFmtId="0" fontId="6" fillId="0" borderId="34" pivotButton="0" quotePrefix="0" xfId="0"/>
    <xf numFmtId="0" fontId="13" fillId="5" borderId="35" applyAlignment="1" pivotButton="0" quotePrefix="0" xfId="0">
      <alignment horizontal="center"/>
    </xf>
    <xf numFmtId="0" fontId="6" fillId="0" borderId="36" pivotButton="0" quotePrefix="0" xfId="0"/>
    <xf numFmtId="0" fontId="13" fillId="6" borderId="37" applyAlignment="1" pivotButton="0" quotePrefix="0" xfId="0">
      <alignment horizontal="center"/>
    </xf>
    <xf numFmtId="0" fontId="6" fillId="0" borderId="38" pivotButton="0" quotePrefix="0" xfId="0"/>
    <xf numFmtId="0" fontId="13" fillId="7" borderId="39" applyAlignment="1" pivotButton="0" quotePrefix="0" xfId="0">
      <alignment horizontal="center"/>
    </xf>
    <xf numFmtId="0" fontId="6" fillId="0" borderId="40" pivotButton="0" quotePrefix="0" xfId="0"/>
    <xf numFmtId="0" fontId="13" fillId="8" borderId="41" applyAlignment="1" pivotButton="0" quotePrefix="0" xfId="0">
      <alignment horizontal="center"/>
    </xf>
    <xf numFmtId="0" fontId="6" fillId="0" borderId="42" pivotButton="0" quotePrefix="0" xfId="0"/>
    <xf numFmtId="0" fontId="14" fillId="2" borderId="43" applyAlignment="1" pivotButton="0" quotePrefix="0" xfId="0">
      <alignment horizontal="center"/>
    </xf>
    <xf numFmtId="0" fontId="14" fillId="2" borderId="44" applyAlignment="1" pivotButton="0" quotePrefix="0" xfId="0">
      <alignment horizontal="center"/>
    </xf>
    <xf numFmtId="0" fontId="14" fillId="2" borderId="44" applyAlignment="1" pivotButton="0" quotePrefix="0" xfId="0">
      <alignment horizontal="center"/>
    </xf>
    <xf numFmtId="0" fontId="14" fillId="2" borderId="45" applyAlignment="1" pivotButton="0" quotePrefix="0" xfId="0">
      <alignment horizontal="center"/>
    </xf>
    <xf numFmtId="0" fontId="15" fillId="0" borderId="0" pivotButton="0" quotePrefix="0" xfId="0"/>
    <xf numFmtId="0" fontId="16" fillId="0" borderId="11" applyAlignment="1" pivotButton="0" quotePrefix="0" xfId="0">
      <alignment horizontal="center" vertical="top" wrapText="1"/>
    </xf>
    <xf numFmtId="0" fontId="17" fillId="9" borderId="11" applyAlignment="1" pivotButton="0" quotePrefix="0" xfId="0">
      <alignment vertical="top" wrapText="1"/>
    </xf>
    <xf numFmtId="0" fontId="18" fillId="0" borderId="11" applyAlignment="1" pivotButton="0" quotePrefix="0" xfId="0">
      <alignment vertical="top" wrapText="1"/>
    </xf>
    <xf numFmtId="0" fontId="18" fillId="0" borderId="11" applyAlignment="1" pivotButton="0" quotePrefix="0" xfId="0">
      <alignment vertical="top" wrapText="1"/>
    </xf>
    <xf numFmtId="0" fontId="19" fillId="10" borderId="11" applyAlignment="1" pivotButton="0" quotePrefix="0" xfId="0">
      <alignment vertical="top" wrapText="1"/>
    </xf>
    <xf numFmtId="0" fontId="2" fillId="0" borderId="46" applyAlignment="1" pivotButton="0" quotePrefix="0" xfId="0">
      <alignment vertical="top"/>
    </xf>
    <xf numFmtId="0" fontId="16" fillId="11" borderId="11" applyAlignment="1" pivotButton="0" quotePrefix="0" xfId="0">
      <alignment horizontal="center" vertical="top" wrapText="1"/>
    </xf>
    <xf numFmtId="0" fontId="18" fillId="11" borderId="11" applyAlignment="1" pivotButton="0" quotePrefix="0" xfId="0">
      <alignment vertical="top" wrapText="1"/>
    </xf>
    <xf numFmtId="0" fontId="2" fillId="11" borderId="46" applyAlignment="1" pivotButton="0" quotePrefix="0" xfId="0">
      <alignment vertical="top" wrapText="1"/>
    </xf>
    <xf numFmtId="0" fontId="17" fillId="9" borderId="11" applyAlignment="1" pivotButton="0" quotePrefix="0" xfId="0">
      <alignment vertical="top" wrapText="1"/>
    </xf>
    <xf numFmtId="0" fontId="2" fillId="0" borderId="46" applyAlignment="1" pivotButton="0" quotePrefix="0" xfId="0">
      <alignment vertical="top" wrapText="1"/>
    </xf>
    <xf numFmtId="0" fontId="20" fillId="12" borderId="11" applyAlignment="1" pivotButton="0" quotePrefix="0" xfId="0">
      <alignment vertical="top" wrapText="1"/>
    </xf>
    <xf numFmtId="0" fontId="2" fillId="11" borderId="46" applyAlignment="1" pivotButton="0" quotePrefix="0" xfId="0">
      <alignment vertical="top"/>
    </xf>
    <xf numFmtId="0" fontId="21" fillId="0" borderId="0" pivotButton="0" quotePrefix="0" xfId="0"/>
    <xf numFmtId="0" fontId="20" fillId="12" borderId="11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18" fillId="11" borderId="11" applyAlignment="1" pivotButton="0" quotePrefix="0" xfId="0">
      <alignment vertical="top" wrapText="1"/>
    </xf>
    <xf numFmtId="0" fontId="2" fillId="11" borderId="11" applyAlignment="1" pivotButton="0" quotePrefix="0" xfId="0">
      <alignment vertical="top"/>
    </xf>
    <xf numFmtId="0" fontId="2" fillId="11" borderId="11" applyAlignment="1" pivotButton="0" quotePrefix="0" xfId="0">
      <alignment vertical="top"/>
    </xf>
    <xf numFmtId="0" fontId="23" fillId="13" borderId="11" applyAlignment="1" pivotButton="0" quotePrefix="0" xfId="0">
      <alignment vertical="top" wrapText="1"/>
    </xf>
    <xf numFmtId="0" fontId="2" fillId="0" borderId="11" applyAlignment="1" pivotButton="0" quotePrefix="0" xfId="0">
      <alignment vertical="top"/>
    </xf>
    <xf numFmtId="0" fontId="2" fillId="0" borderId="11" applyAlignment="1" pivotButton="0" quotePrefix="0" xfId="0">
      <alignment vertical="top"/>
    </xf>
    <xf numFmtId="0" fontId="2" fillId="14" borderId="47" pivotButton="0" quotePrefix="0" xfId="0"/>
    <xf numFmtId="0" fontId="2" fillId="14" borderId="11" pivotButton="0" quotePrefix="0" xfId="0"/>
    <xf numFmtId="0" fontId="2" fillId="14" borderId="11" pivotButton="0" quotePrefix="0" xfId="0"/>
    <xf numFmtId="0" fontId="2" fillId="14" borderId="46" pivotButton="0" quotePrefix="0" xfId="0"/>
    <xf numFmtId="0" fontId="2" fillId="14" borderId="48" pivotButton="0" quotePrefix="0" xfId="0"/>
    <xf numFmtId="0" fontId="2" fillId="14" borderId="49" pivotButton="0" quotePrefix="0" xfId="0"/>
    <xf numFmtId="0" fontId="2" fillId="14" borderId="49" pivotButton="0" quotePrefix="0" xfId="0"/>
    <xf numFmtId="0" fontId="2" fillId="14" borderId="50" pivotButton="0" quotePrefix="0" xfId="0"/>
    <xf numFmtId="0" fontId="2" fillId="0" borderId="0" applyAlignment="1" pivotButton="0" quotePrefix="0" xfId="0">
      <alignment vertical="bottom"/>
    </xf>
    <xf numFmtId="0" fontId="0" fillId="0" borderId="0" pivotButton="0" quotePrefix="0" xfId="0"/>
    <xf numFmtId="0" fontId="5" fillId="3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3" borderId="53" pivotButton="0" quotePrefix="0" xfId="0"/>
    <xf numFmtId="0" fontId="0" fillId="0" borderId="6" pivotButton="0" quotePrefix="0" xfId="0"/>
    <xf numFmtId="0" fontId="5" fillId="3" borderId="11" pivotButton="0" quotePrefix="0" xfId="0"/>
    <xf numFmtId="0" fontId="0" fillId="0" borderId="9" pivotButton="0" quotePrefix="0" xfId="0"/>
    <xf numFmtId="0" fontId="0" fillId="0" borderId="10" pivotButton="0" quotePrefix="0" xfId="0"/>
    <xf numFmtId="164" fontId="5" fillId="3" borderId="57" applyAlignment="1" pivotButton="0" quotePrefix="0" xfId="0">
      <alignment horizontal="right"/>
    </xf>
    <xf numFmtId="0" fontId="0" fillId="0" borderId="12" pivotButton="0" quotePrefix="0" xfId="0"/>
    <xf numFmtId="0" fontId="5" fillId="3" borderId="59" pivotButton="0" quotePrefix="0" xfId="0"/>
    <xf numFmtId="0" fontId="0" fillId="0" borderId="15" pivotButton="0" quotePrefix="0" xfId="0"/>
    <xf numFmtId="0" fontId="0" fillId="0" borderId="16" pivotButton="0" quotePrefix="0" xfId="0"/>
    <xf numFmtId="0" fontId="7" fillId="4" borderId="60" applyAlignment="1" pivotButton="0" quotePrefix="0" xfId="0">
      <alignment horizontal="center"/>
    </xf>
    <xf numFmtId="0" fontId="0" fillId="0" borderId="18" pivotButton="0" quotePrefix="0" xfId="0"/>
    <xf numFmtId="0" fontId="7" fillId="5" borderId="20" applyAlignment="1" pivotButton="0" quotePrefix="0" xfId="0">
      <alignment horizontal="center"/>
    </xf>
    <xf numFmtId="0" fontId="0" fillId="0" borderId="20" pivotButton="0" quotePrefix="0" xfId="0"/>
    <xf numFmtId="0" fontId="7" fillId="6" borderId="22" applyAlignment="1" pivotButton="0" quotePrefix="0" xfId="0">
      <alignment horizontal="center"/>
    </xf>
    <xf numFmtId="0" fontId="0" fillId="0" borderId="22" pivotButton="0" quotePrefix="0" xfId="0"/>
    <xf numFmtId="0" fontId="7" fillId="7" borderId="24" applyAlignment="1" pivotButton="0" quotePrefix="0" xfId="0">
      <alignment horizontal="center"/>
    </xf>
    <xf numFmtId="0" fontId="0" fillId="0" borderId="24" pivotButton="0" quotePrefix="0" xfId="0"/>
    <xf numFmtId="0" fontId="7" fillId="8" borderId="26" applyAlignment="1" pivotButton="0" quotePrefix="0" xfId="0">
      <alignment horizontal="center"/>
    </xf>
    <xf numFmtId="0" fontId="0" fillId="0" borderId="26" pivotButton="0" quotePrefix="0" xfId="0"/>
    <xf numFmtId="0" fontId="8" fillId="4" borderId="62" applyAlignment="1" pivotButton="0" quotePrefix="0" xfId="0">
      <alignment horizontal="center"/>
    </xf>
    <xf numFmtId="0" fontId="0" fillId="0" borderId="28" pivotButton="0" quotePrefix="0" xfId="0"/>
    <xf numFmtId="0" fontId="9" fillId="5" borderId="29" applyAlignment="1" pivotButton="0" quotePrefix="0" xfId="0">
      <alignment horizontal="center"/>
    </xf>
    <xf numFmtId="0" fontId="0" fillId="0" borderId="29" pivotButton="0" quotePrefix="0" xfId="0"/>
    <xf numFmtId="0" fontId="10" fillId="6" borderId="30" applyAlignment="1" pivotButton="0" quotePrefix="0" xfId="0">
      <alignment horizontal="center"/>
    </xf>
    <xf numFmtId="0" fontId="0" fillId="0" borderId="30" pivotButton="0" quotePrefix="0" xfId="0"/>
    <xf numFmtId="0" fontId="11" fillId="7" borderId="31" applyAlignment="1" pivotButton="0" quotePrefix="0" xfId="0">
      <alignment horizontal="center"/>
    </xf>
    <xf numFmtId="0" fontId="0" fillId="0" borderId="31" pivotButton="0" quotePrefix="0" xfId="0"/>
    <xf numFmtId="165" fontId="12" fillId="8" borderId="32" applyAlignment="1" pivotButton="0" quotePrefix="0" xfId="0">
      <alignment horizontal="center"/>
    </xf>
    <xf numFmtId="0" fontId="0" fillId="0" borderId="32" pivotButton="0" quotePrefix="0" xfId="0"/>
    <xf numFmtId="0" fontId="13" fillId="4" borderId="63" applyAlignment="1" pivotButton="0" quotePrefix="0" xfId="0">
      <alignment horizontal="center"/>
    </xf>
    <xf numFmtId="0" fontId="0" fillId="0" borderId="34" pivotButton="0" quotePrefix="0" xfId="0"/>
    <xf numFmtId="0" fontId="13" fillId="5" borderId="36" applyAlignment="1" pivotButton="0" quotePrefix="0" xfId="0">
      <alignment horizontal="center"/>
    </xf>
    <xf numFmtId="0" fontId="0" fillId="0" borderId="36" pivotButton="0" quotePrefix="0" xfId="0"/>
    <xf numFmtId="0" fontId="13" fillId="6" borderId="38" applyAlignment="1" pivotButton="0" quotePrefix="0" xfId="0">
      <alignment horizontal="center"/>
    </xf>
    <xf numFmtId="0" fontId="0" fillId="0" borderId="38" pivotButton="0" quotePrefix="0" xfId="0"/>
    <xf numFmtId="0" fontId="13" fillId="7" borderId="40" applyAlignment="1" pivotButton="0" quotePrefix="0" xfId="0">
      <alignment horizontal="center"/>
    </xf>
    <xf numFmtId="0" fontId="0" fillId="0" borderId="40" pivotButton="0" quotePrefix="0" xfId="0"/>
    <xf numFmtId="0" fontId="13" fillId="8" borderId="42" applyAlignment="1" pivotButton="0" quotePrefix="0" xfId="0">
      <alignment horizontal="center"/>
    </xf>
    <xf numFmtId="0" fontId="0" fillId="0" borderId="42" pivotButton="0" quotePrefix="0" xfId="0"/>
    <xf numFmtId="0" fontId="24" fillId="0" borderId="0" applyAlignment="1" pivotButton="0" quotePrefix="0" xfId="0">
      <alignment vertical="top"/>
    </xf>
    <xf numFmtId="0" fontId="24" fillId="0" borderId="0" applyAlignment="1" pivotButton="0" quotePrefix="0" xfId="0">
      <alignment horizontal="center" vertical="top"/>
    </xf>
    <xf numFmtId="0" fontId="16" fillId="0" borderId="11" applyAlignment="1" pivotButton="0" quotePrefix="0" xfId="0">
      <alignment horizontal="center" vertical="top" wrapText="1"/>
    </xf>
    <xf numFmtId="0" fontId="17" fillId="15" borderId="11" applyAlignment="1" pivotButton="0" quotePrefix="0" xfId="0">
      <alignment vertical="top" wrapText="1"/>
    </xf>
    <xf numFmtId="0" fontId="18" fillId="0" borderId="11" applyAlignment="1" pivotButton="0" quotePrefix="0" xfId="0">
      <alignment vertical="top" wrapText="1"/>
    </xf>
    <xf numFmtId="0" fontId="19" fillId="16" borderId="11" applyAlignment="1" pivotButton="0" quotePrefix="0" xfId="0">
      <alignment vertical="top" wrapText="1"/>
    </xf>
    <xf numFmtId="0" fontId="16" fillId="17" borderId="11" applyAlignment="1" pivotButton="0" quotePrefix="0" xfId="0">
      <alignment horizontal="center" vertical="top" wrapText="1"/>
    </xf>
    <xf numFmtId="0" fontId="18" fillId="17" borderId="11" applyAlignment="1" pivotButton="0" quotePrefix="0" xfId="0">
      <alignment vertical="top" wrapText="1"/>
    </xf>
    <xf numFmtId="0" fontId="20" fillId="18" borderId="11" applyAlignment="1" pivotButton="0" quotePrefix="0" xfId="0">
      <alignment vertical="top" wrapText="1"/>
    </xf>
    <xf numFmtId="0" fontId="24" fillId="14" borderId="47" applyAlignment="1" pivotButton="0" quotePrefix="0" xfId="0">
      <alignment vertical="top"/>
    </xf>
    <xf numFmtId="0" fontId="24" fillId="14" borderId="48" applyAlignment="1" pivotButton="0" quotePrefix="0" xfId="0">
      <alignment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0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92" min="1" max="1"/>
    <col width="12" customWidth="1" style="92" min="2" max="2"/>
    <col width="19.13" customWidth="1" style="92" min="3" max="3"/>
    <col width="13" customWidth="1" style="92" min="4" max="4"/>
    <col width="13" customWidth="1" style="92" min="5" max="5"/>
    <col width="17.25" customWidth="1" style="92" min="6" max="6"/>
    <col width="17" customWidth="1" style="92" min="7" max="7"/>
    <col width="28.38" customWidth="1" style="92" min="8" max="8"/>
    <col width="14.63" customWidth="1" style="92" min="9" max="9"/>
    <col width="13" customWidth="1" style="92" min="10" max="10"/>
    <col width="18" customWidth="1" style="92" min="11" max="11"/>
  </cols>
  <sheetData>
    <row r="1">
      <c r="A1" s="1" t="n"/>
      <c r="B1" s="1" t="inlineStr">
        <is>
          <t>UNIVERSIDAD AUTÓNOMA METROPOLITANA — UNIDAD CUAJIMALPA</t>
        </is>
      </c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</row>
    <row r="2">
      <c r="A2" s="3" t="n"/>
      <c r="B2" s="3" t="inlineStr">
        <is>
          <t>UEA: Calidad y Pruebas de Software • Matriz de Especificación y Ejecución de Pruebas</t>
        </is>
      </c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</row>
    <row r="3">
      <c r="A3" s="91" t="n"/>
      <c r="B3" s="91" t="n"/>
      <c r="C3" s="91" t="n"/>
      <c r="D3" s="91" t="n"/>
      <c r="E3" s="91" t="n"/>
      <c r="F3" s="91" t="n"/>
      <c r="G3" s="91" t="n"/>
      <c r="H3" s="91" t="n"/>
      <c r="I3" s="91" t="n"/>
      <c r="J3" s="91" t="n"/>
      <c r="K3" s="91" t="n"/>
      <c r="M3" s="91" t="n"/>
      <c r="N3" s="91" t="n"/>
      <c r="O3" s="91" t="n"/>
      <c r="P3" s="91" t="n"/>
      <c r="Q3" s="91" t="n"/>
      <c r="R3" s="91" t="n"/>
      <c r="S3" s="91" t="n"/>
      <c r="T3" s="91" t="n"/>
      <c r="U3" s="91" t="n"/>
      <c r="V3" s="91" t="n"/>
      <c r="W3" s="91" t="n"/>
      <c r="X3" s="91" t="n"/>
      <c r="Y3" s="91" t="n"/>
      <c r="Z3" s="91" t="n"/>
      <c r="AA3" s="91" t="n"/>
    </row>
    <row r="4">
      <c r="A4" s="4" t="n"/>
      <c r="B4" s="5" t="inlineStr">
        <is>
          <t>Proyecto:</t>
        </is>
      </c>
      <c r="C4" s="93" t="inlineStr">
        <is>
          <t>UniBuyC</t>
        </is>
      </c>
      <c r="D4" s="94" t="n"/>
      <c r="E4" s="95" t="n"/>
      <c r="F4" s="9" t="inlineStr">
        <is>
          <t>Módulo:</t>
        </is>
      </c>
      <c r="G4" s="93" t="inlineStr">
        <is>
          <t>Casos de Uso</t>
        </is>
      </c>
      <c r="H4" s="95" t="n"/>
      <c r="I4" s="9" t="inlineStr">
        <is>
          <t>Versión:</t>
        </is>
      </c>
      <c r="J4" s="96" t="inlineStr">
        <is>
          <t>v1.0 (Producción)</t>
        </is>
      </c>
      <c r="K4" s="97" t="n"/>
      <c r="M4" s="91" t="n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X4" s="91" t="n"/>
      <c r="Y4" s="91" t="n"/>
      <c r="Z4" s="91" t="n"/>
      <c r="AA4" s="91" t="n"/>
    </row>
    <row r="5">
      <c r="A5" s="4" t="n"/>
      <c r="B5" s="12" t="inlineStr">
        <is>
          <t>Tester:</t>
        </is>
      </c>
      <c r="C5" s="98" t="inlineStr">
        <is>
          <t>Angel Oliveros</t>
        </is>
      </c>
      <c r="D5" s="99" t="n"/>
      <c r="E5" s="100" t="n"/>
      <c r="F5" s="16" t="inlineStr">
        <is>
          <t>Entorno:</t>
        </is>
      </c>
      <c r="G5" s="98" t="inlineStr">
        <is>
          <t>QA / Web (Chrome)</t>
        </is>
      </c>
      <c r="H5" s="100" t="n"/>
      <c r="I5" s="16" t="inlineStr">
        <is>
          <t>Fecha:</t>
        </is>
      </c>
      <c r="J5" s="101" t="n">
        <v>46304</v>
      </c>
      <c r="K5" s="102" t="n"/>
      <c r="M5" s="91" t="n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</row>
    <row r="6">
      <c r="A6" s="4" t="n"/>
      <c r="B6" s="19" t="inlineStr">
        <is>
          <t>Objetivo:</t>
        </is>
      </c>
      <c r="C6" s="103" t="inlineStr">
        <is>
          <t>Verificar que se cumplan los criterios de aceptación de las historias de usuario de UniBuyC (HU-01 a HU-06) probando la app web publicada (https://unibuyc-web.vercel.app), el panel de administrador y la API.</t>
        </is>
      </c>
      <c r="D6" s="104" t="n"/>
      <c r="E6" s="104" t="n"/>
      <c r="F6" s="104" t="n"/>
      <c r="G6" s="104" t="n"/>
      <c r="H6" s="104" t="n"/>
      <c r="I6" s="104" t="n"/>
      <c r="J6" s="104" t="n"/>
      <c r="K6" s="105" t="n"/>
      <c r="M6" s="91" t="n"/>
      <c r="N6" s="91" t="n"/>
      <c r="O6" s="91" t="n"/>
      <c r="P6" s="91" t="n"/>
      <c r="Q6" s="91" t="n"/>
      <c r="R6" s="91" t="n"/>
      <c r="S6" s="91" t="n"/>
      <c r="T6" s="91" t="n"/>
      <c r="U6" s="91" t="n"/>
      <c r="V6" s="91" t="n"/>
      <c r="W6" s="91" t="n"/>
      <c r="X6" s="91" t="n"/>
      <c r="Y6" s="91" t="n"/>
      <c r="Z6" s="91" t="n"/>
      <c r="AA6" s="91" t="n"/>
    </row>
    <row r="7">
      <c r="A7" s="91" t="n"/>
      <c r="B7" s="91" t="n"/>
      <c r="C7" s="91" t="n"/>
      <c r="D7" s="91" t="n"/>
      <c r="E7" s="91" t="n"/>
      <c r="F7" s="91" t="n"/>
      <c r="G7" s="91" t="n"/>
      <c r="H7" s="91" t="n"/>
      <c r="I7" s="91" t="n"/>
      <c r="J7" s="91" t="n"/>
      <c r="K7" s="91" t="n"/>
      <c r="M7" s="91" t="n"/>
      <c r="N7" s="91" t="n"/>
      <c r="O7" s="91" t="n"/>
      <c r="P7" s="91" t="n"/>
      <c r="Q7" s="91" t="n"/>
      <c r="R7" s="91" t="n"/>
      <c r="S7" s="91" t="n"/>
      <c r="T7" s="91" t="n"/>
      <c r="U7" s="91" t="n"/>
      <c r="V7" s="91" t="n"/>
      <c r="W7" s="91" t="n"/>
      <c r="X7" s="91" t="n"/>
      <c r="Y7" s="91" t="n"/>
      <c r="Z7" s="91" t="n"/>
      <c r="AA7" s="91" t="n"/>
    </row>
    <row r="8">
      <c r="A8" s="23" t="n"/>
      <c r="B8" s="106" t="inlineStr">
        <is>
          <t>TOTAL CASOS</t>
        </is>
      </c>
      <c r="C8" s="107" t="n"/>
      <c r="D8" s="108" t="inlineStr">
        <is>
          <t>APROBADOS</t>
        </is>
      </c>
      <c r="E8" s="109" t="n"/>
      <c r="F8" s="110" t="inlineStr">
        <is>
          <t>FALLIDOS</t>
        </is>
      </c>
      <c r="G8" s="111" t="n"/>
      <c r="H8" s="112" t="inlineStr">
        <is>
          <t>BLOQUEADOS</t>
        </is>
      </c>
      <c r="I8" s="113" t="n"/>
      <c r="J8" s="114" t="inlineStr">
        <is>
          <t>TASA DE ÉXITO</t>
        </is>
      </c>
      <c r="K8" s="115" t="n"/>
      <c r="M8" s="91" t="n"/>
      <c r="N8" s="91" t="n"/>
      <c r="O8" s="91" t="n"/>
      <c r="P8" s="91" t="n"/>
      <c r="Q8" s="91" t="n"/>
      <c r="R8" s="91" t="n"/>
      <c r="S8" s="91" t="n"/>
      <c r="T8" s="91" t="n"/>
      <c r="U8" s="91" t="n"/>
      <c r="V8" s="91" t="n"/>
      <c r="W8" s="91" t="n"/>
      <c r="X8" s="91" t="n"/>
      <c r="Y8" s="91" t="n"/>
      <c r="Z8" s="91" t="n"/>
      <c r="AA8" s="91" t="n"/>
    </row>
    <row r="9">
      <c r="A9" s="34" t="n"/>
      <c r="B9" s="116">
        <f>COUNTA(C13:C52)</f>
        <v/>
      </c>
      <c r="C9" s="117" t="n"/>
      <c r="D9" s="118">
        <f>COUNTIF(J:J, "Aprobado")</f>
        <v/>
      </c>
      <c r="E9" s="119" t="n"/>
      <c r="F9" s="120">
        <f>COUNTIF(J:J, "Fallido")</f>
        <v/>
      </c>
      <c r="G9" s="121" t="n"/>
      <c r="H9" s="122">
        <f>COUNTIF(J:J, "Bloqueado")</f>
        <v/>
      </c>
      <c r="I9" s="123" t="n"/>
      <c r="J9" s="124">
        <f>IF(COUNTA(C13:C52)=0, 0, COUNTIF(J13:J52, "Aprobado")/COUNTA(C13:C52))</f>
        <v/>
      </c>
      <c r="K9" s="125" t="n"/>
      <c r="M9" s="91" t="n"/>
      <c r="N9" s="91" t="n"/>
      <c r="O9" s="91" t="n"/>
      <c r="P9" s="91" t="n"/>
      <c r="Q9" s="91" t="n"/>
      <c r="R9" s="91" t="n"/>
      <c r="S9" s="91" t="n"/>
      <c r="T9" s="91" t="n"/>
      <c r="U9" s="91" t="n"/>
      <c r="V9" s="91" t="n"/>
      <c r="W9" s="91" t="n"/>
      <c r="X9" s="91" t="n"/>
      <c r="Y9" s="91" t="n"/>
      <c r="Z9" s="91" t="n"/>
      <c r="AA9" s="91" t="n"/>
    </row>
    <row r="10">
      <c r="A10" s="45" t="n"/>
      <c r="B10" s="126" t="inlineStr">
        <is>
          <t>Casos especificados</t>
        </is>
      </c>
      <c r="C10" s="127" t="n"/>
      <c r="D10" s="128" t="inlineStr">
        <is>
          <t>Pruebas superadas</t>
        </is>
      </c>
      <c r="E10" s="129" t="n"/>
      <c r="F10" s="130" t="inlineStr">
        <is>
          <t>Defectos detectados</t>
        </is>
      </c>
      <c r="G10" s="131" t="n"/>
      <c r="H10" s="132" t="inlineStr">
        <is>
          <t>Con impedimento</t>
        </is>
      </c>
      <c r="I10" s="133" t="n"/>
      <c r="J10" s="134" t="inlineStr">
        <is>
          <t>Efectividad global</t>
        </is>
      </c>
      <c r="K10" s="135" t="n"/>
      <c r="M10" s="91" t="n"/>
      <c r="N10" s="91" t="n"/>
      <c r="O10" s="91" t="n"/>
      <c r="P10" s="91" t="n"/>
      <c r="Q10" s="91" t="n"/>
      <c r="R10" s="91" t="n"/>
      <c r="S10" s="91" t="n"/>
      <c r="T10" s="91" t="n"/>
      <c r="U10" s="91" t="n"/>
      <c r="V10" s="91" t="n"/>
      <c r="W10" s="91" t="n"/>
      <c r="X10" s="91" t="n"/>
      <c r="Y10" s="91" t="n"/>
      <c r="Z10" s="91" t="n"/>
      <c r="AA10" s="91" t="n"/>
    </row>
    <row r="11">
      <c r="A11" s="91" t="n"/>
      <c r="B11" s="91" t="n"/>
      <c r="C11" s="91" t="n"/>
      <c r="D11" s="91" t="n"/>
      <c r="E11" s="91" t="n"/>
      <c r="F11" s="91" t="n"/>
      <c r="G11" s="91" t="n"/>
      <c r="H11" s="91" t="n"/>
      <c r="I11" s="91" t="n"/>
      <c r="J11" s="91" t="n"/>
      <c r="K11" s="91" t="n"/>
      <c r="M11" s="91" t="n"/>
      <c r="N11" s="91" t="n"/>
      <c r="O11" s="91" t="n"/>
      <c r="P11" s="91" t="n"/>
      <c r="Q11" s="91" t="n"/>
      <c r="R11" s="91" t="n"/>
      <c r="S11" s="91" t="n"/>
      <c r="T11" s="91" t="n"/>
      <c r="U11" s="91" t="n"/>
      <c r="V11" s="91" t="n"/>
      <c r="W11" s="91" t="n"/>
      <c r="X11" s="91" t="n"/>
      <c r="Y11" s="91" t="n"/>
      <c r="Z11" s="91" t="n"/>
      <c r="AA11" s="91" t="n"/>
    </row>
    <row r="12">
      <c r="A12" s="56" t="inlineStr">
        <is>
          <t>Caso de Uso</t>
        </is>
      </c>
      <c r="B12" s="56" t="inlineStr">
        <is>
          <t># Prueba</t>
        </is>
      </c>
      <c r="C12" s="58" t="inlineStr">
        <is>
          <t>Criterios de Aceptación</t>
        </is>
      </c>
      <c r="D12" s="58" t="inlineStr">
        <is>
          <t>Prioridad</t>
        </is>
      </c>
      <c r="E12" s="58" t="inlineStr">
        <is>
          <t>Tipo</t>
        </is>
      </c>
      <c r="F12" s="58" t="inlineStr">
        <is>
          <t>Precondiciones</t>
        </is>
      </c>
      <c r="G12" s="58" t="inlineStr">
        <is>
          <t>Pasos de Ejecución</t>
        </is>
      </c>
      <c r="H12" s="58" t="inlineStr">
        <is>
          <t>Resultado Esperado</t>
        </is>
      </c>
      <c r="I12" s="58" t="inlineStr">
        <is>
          <t>Resultado Actual</t>
        </is>
      </c>
      <c r="J12" s="58" t="inlineStr">
        <is>
          <t>Estado</t>
        </is>
      </c>
      <c r="K12" s="59" t="inlineStr">
        <is>
          <t>ID Defecto / Notas</t>
        </is>
      </c>
      <c r="M12" s="91" t="n"/>
      <c r="N12" s="91" t="n"/>
      <c r="O12" s="91" t="n"/>
      <c r="P12" s="91" t="n"/>
      <c r="Q12" s="91" t="n"/>
      <c r="R12" s="91" t="n"/>
      <c r="S12" s="91" t="n"/>
      <c r="T12" s="91" t="n"/>
      <c r="U12" s="91" t="n"/>
      <c r="V12" s="91" t="n"/>
      <c r="W12" s="91" t="n"/>
      <c r="X12" s="91" t="n"/>
      <c r="Y12" s="91" t="n"/>
      <c r="Z12" s="91" t="n"/>
      <c r="AA12" s="91" t="n"/>
    </row>
    <row r="13" ht="76" customHeight="1" s="92">
      <c r="A13" s="136" t="inlineStr">
        <is>
          <t>HU-01</t>
        </is>
      </c>
      <c r="B13" s="137" t="n">
        <v>1</v>
      </c>
      <c r="C13" s="138" t="inlineStr">
        <is>
          <t>a)</t>
        </is>
      </c>
      <c r="D13" s="139" t="inlineStr">
        <is>
          <t>Alta</t>
        </is>
      </c>
      <c r="E13" s="140" t="inlineStr">
        <is>
          <t>Seguridad</t>
        </is>
      </c>
      <c r="F13" s="140" t="inlineStr">
        <is>
          <t>Ingreso a la aplicación web a traves del enlace o instalación de la APK: https://unibuyc-web.vercel.app/</t>
        </is>
      </c>
      <c r="G13" s="140" t="inlineStr">
        <is>
          <t>1. Clic en Crear Cuenta 2. Ingresar Datos que no esten previamente registrados</t>
        </is>
      </c>
      <c r="H13" s="140" t="inlineStr">
        <is>
          <t>Regresar a la pantalla principal con un aviso de la cuenta creada</t>
        </is>
      </c>
      <c r="I13" s="140" t="inlineStr">
        <is>
          <t>Regresa correctamente y se informa al usuario mediante una notificación</t>
        </is>
      </c>
      <c r="J13" s="141" t="inlineStr">
        <is>
          <t>Aprobado</t>
        </is>
      </c>
      <c r="K13" s="140" t="n"/>
      <c r="M13" s="91" t="n"/>
      <c r="N13" s="91" t="n"/>
      <c r="O13" s="91" t="n"/>
      <c r="P13" s="91" t="n"/>
      <c r="Q13" s="91" t="n"/>
      <c r="R13" s="91" t="n"/>
      <c r="S13" s="91" t="n"/>
      <c r="T13" s="91" t="n"/>
      <c r="U13" s="91" t="n"/>
      <c r="V13" s="91" t="n"/>
      <c r="W13" s="91" t="n"/>
      <c r="X13" s="91" t="n"/>
      <c r="Y13" s="91" t="n"/>
      <c r="Z13" s="91" t="n"/>
      <c r="AA13" s="91" t="n"/>
    </row>
    <row r="14" ht="76" customHeight="1" s="92">
      <c r="A14" s="136" t="inlineStr">
        <is>
          <t>HU-01</t>
        </is>
      </c>
      <c r="B14" s="137" t="n">
        <v>2</v>
      </c>
      <c r="C14" s="142" t="inlineStr">
        <is>
          <t>a)</t>
        </is>
      </c>
      <c r="D14" s="139" t="inlineStr">
        <is>
          <t>Alta</t>
        </is>
      </c>
      <c r="E14" s="143" t="inlineStr">
        <is>
          <t>Funcional</t>
        </is>
      </c>
      <c r="F14" s="143" t="inlineStr">
        <is>
          <t>Ingreso a la aplicación web a traves del enlace o instalación de la APK: https://unibuyc-web.vercel.app/</t>
        </is>
      </c>
      <c r="G14" s="143" t="inlineStr">
        <is>
          <t>1. Clic en Crear Cuenta 2. Llenar todo menos el nombre 3. Clic en Crear cuenta</t>
        </is>
      </c>
      <c r="H14" s="143" t="inlineStr">
        <is>
          <t>Que no deje crear la cuenta y avise que falta el nombre</t>
        </is>
      </c>
      <c r="I14" s="143" t="inlineStr">
        <is>
          <t>No deja crear la cuenta, sale el aviso de que faltan datos y el campo del nombre se pone en rojo</t>
        </is>
      </c>
      <c r="J14" s="141" t="inlineStr">
        <is>
          <t>Aprobado</t>
        </is>
      </c>
      <c r="K14" s="143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  <c r="Z14" s="91" t="n"/>
      <c r="AA14" s="91" t="n"/>
    </row>
    <row r="15" ht="88" customHeight="1" s="92">
      <c r="A15" s="136" t="inlineStr">
        <is>
          <t>HU-01</t>
        </is>
      </c>
      <c r="B15" s="137" t="n">
        <v>3</v>
      </c>
      <c r="C15" s="138" t="inlineStr">
        <is>
          <t>a)</t>
        </is>
      </c>
      <c r="D15" s="144" t="inlineStr">
        <is>
          <t>Media</t>
        </is>
      </c>
      <c r="E15" s="140" t="inlineStr">
        <is>
          <t>Seguridad</t>
        </is>
      </c>
      <c r="F15" s="140" t="inlineStr">
        <is>
          <t>Ingreso a la aplicación web a traves del enlace o instalación de la APK: https://unibuyc-web.vercel.app/</t>
        </is>
      </c>
      <c r="G15" s="140" t="inlineStr">
        <is>
          <t>1. Clic en Crear Cuenta 2. Poner una matrícula con letras (ej. ABC123) 3. Intentar lo mismo mandandolo directo a la API</t>
        </is>
      </c>
      <c r="H15" s="140" t="inlineStr">
        <is>
          <t>Que no se pueda registrar una matrícula con letras</t>
        </is>
      </c>
      <c r="I15" s="140" t="inlineStr">
        <is>
          <t>En la app no deja y avisa que la matrícula solo lleva números, pero directo en la API sí deja crear la cuenta</t>
        </is>
      </c>
      <c r="J15" s="139" t="inlineStr">
        <is>
          <t>Fallido</t>
        </is>
      </c>
      <c r="K15" s="140" t="inlineStr">
        <is>
          <t>Falta validar la matrícula también en el servidor, no solo en la app</t>
        </is>
      </c>
      <c r="M15" s="91" t="n"/>
      <c r="N15" s="91" t="n"/>
      <c r="O15" s="91" t="n"/>
      <c r="P15" s="91" t="n"/>
      <c r="Q15" s="91" t="n"/>
      <c r="R15" s="91" t="n"/>
      <c r="S15" s="91" t="n"/>
      <c r="T15" s="91" t="n"/>
      <c r="U15" s="91" t="n"/>
      <c r="V15" s="91" t="n"/>
      <c r="W15" s="91" t="n"/>
      <c r="X15" s="91" t="n"/>
      <c r="Y15" s="91" t="n"/>
      <c r="Z15" s="91" t="n"/>
      <c r="AA15" s="91" t="n"/>
    </row>
    <row r="16" ht="100" customHeight="1" s="92">
      <c r="A16" s="136" t="inlineStr">
        <is>
          <t>HU-01</t>
        </is>
      </c>
      <c r="B16" s="137" t="n">
        <v>4</v>
      </c>
      <c r="C16" s="142" t="inlineStr">
        <is>
          <t>b)</t>
        </is>
      </c>
      <c r="D16" s="144" t="inlineStr">
        <is>
          <t>Media</t>
        </is>
      </c>
      <c r="E16" s="143" t="inlineStr">
        <is>
          <t>Seguridad</t>
        </is>
      </c>
      <c r="F16" s="143" t="inlineStr">
        <is>
          <t>Ingreso a la aplicación web a traves del enlace o instalación de la APK: https://unibuyc-web.vercel.app/</t>
        </is>
      </c>
      <c r="G16" s="143" t="inlineStr">
        <is>
          <t>1. Clic en Crear Cuenta 2. Ingresar Datos  3. Colocar una contraseña de menos de 6 caracteres</t>
        </is>
      </c>
      <c r="H16" s="143" t="inlineStr">
        <is>
          <t>Que no se permita la creación de la cuenta con una contraseña de menos de 6 caracteres</t>
        </is>
      </c>
      <c r="I16" s="143" t="inlineStr">
        <is>
          <t>Se bloquea el botón de crear cuenta hasta llegar a los 6 caracteres, si se presiona antes salta un aviso de que faltan datos</t>
        </is>
      </c>
      <c r="J16" s="141" t="inlineStr">
        <is>
          <t>Aprobado</t>
        </is>
      </c>
      <c r="K16" s="143" t="n"/>
      <c r="M16" s="91" t="n"/>
      <c r="N16" s="91" t="n"/>
      <c r="O16" s="91" t="n"/>
      <c r="P16" s="91" t="n"/>
      <c r="Q16" s="91" t="n"/>
      <c r="R16" s="91" t="n"/>
      <c r="S16" s="91" t="n"/>
      <c r="T16" s="91" t="n"/>
      <c r="U16" s="91" t="n"/>
      <c r="V16" s="91" t="n"/>
      <c r="W16" s="91" t="n"/>
      <c r="X16" s="91" t="n"/>
      <c r="Y16" s="91" t="n"/>
      <c r="Z16" s="91" t="n"/>
      <c r="AA16" s="91" t="n"/>
    </row>
    <row r="17" ht="76" customHeight="1" s="92">
      <c r="A17" s="136" t="inlineStr">
        <is>
          <t>HU-01</t>
        </is>
      </c>
      <c r="B17" s="137" t="n">
        <v>5</v>
      </c>
      <c r="C17" s="138" t="inlineStr">
        <is>
          <t>c)</t>
        </is>
      </c>
      <c r="D17" s="139" t="inlineStr">
        <is>
          <t>Alta</t>
        </is>
      </c>
      <c r="E17" s="140" t="inlineStr">
        <is>
          <t>Seguridad</t>
        </is>
      </c>
      <c r="F17" s="140" t="inlineStr">
        <is>
          <t>Ingreso a la aplicación web a traves del enlace o instalación de la APK: https://unibuyc-web.vercel.app/</t>
        </is>
      </c>
      <c r="G17" s="140" t="inlineStr">
        <is>
          <t>1. Clic en Crear Cuenta 2. Ingresar Datos que ya estan registrados</t>
        </is>
      </c>
      <c r="H17" s="140" t="inlineStr">
        <is>
          <t>Que se bloquee de alguna manera la creación de la cuenta</t>
        </is>
      </c>
      <c r="I17" s="140" t="inlineStr">
        <is>
          <t>No permite la creación de la cuenta y avisa que el correo o la matrícula ya estan registrados</t>
        </is>
      </c>
      <c r="J17" s="141" t="inlineStr">
        <is>
          <t>Aprobado</t>
        </is>
      </c>
      <c r="K17" s="140" t="inlineStr">
        <is>
          <t>Ya dice cual es el error (antes no lo especificaba)</t>
        </is>
      </c>
      <c r="M17" s="91" t="n"/>
      <c r="N17" s="91" t="n"/>
      <c r="O17" s="91" t="n"/>
      <c r="P17" s="91" t="n"/>
      <c r="Q17" s="91" t="n"/>
      <c r="R17" s="91" t="n"/>
      <c r="S17" s="91" t="n"/>
      <c r="T17" s="91" t="n"/>
      <c r="U17" s="91" t="n"/>
      <c r="V17" s="91" t="n"/>
      <c r="W17" s="91" t="n"/>
      <c r="X17" s="91" t="n"/>
      <c r="Y17" s="91" t="n"/>
      <c r="Z17" s="91" t="n"/>
      <c r="AA17" s="91" t="n"/>
    </row>
    <row r="18" ht="76" customHeight="1" s="92">
      <c r="A18" s="136" t="inlineStr">
        <is>
          <t>HU-01</t>
        </is>
      </c>
      <c r="B18" s="137" t="n">
        <v>6</v>
      </c>
      <c r="C18" s="142" t="inlineStr">
        <is>
          <t>c)</t>
        </is>
      </c>
      <c r="D18" s="139" t="inlineStr">
        <is>
          <t>Alta</t>
        </is>
      </c>
      <c r="E18" s="143" t="inlineStr">
        <is>
          <t>Seguridad</t>
        </is>
      </c>
      <c r="F18" s="143" t="inlineStr">
        <is>
          <t>Ingreso a la aplicación web a traves del enlace o instalación de la APK: https://unibuyc-web.vercel.app/</t>
        </is>
      </c>
      <c r="G18" s="143" t="inlineStr">
        <is>
          <t>1. Clic en Crear Cuenta 2. Ingresar Datos  3. Colocar un correo fuera del dominio insitucional</t>
        </is>
      </c>
      <c r="H18" s="143" t="inlineStr">
        <is>
          <t>Que no se permita la creación de la cuenta con un correo fuera del dominio</t>
        </is>
      </c>
      <c r="I18" s="143" t="inlineStr">
        <is>
          <t>Permite sin problemas la creación de la cuenta</t>
        </is>
      </c>
      <c r="J18" s="139" t="inlineStr">
        <is>
          <t>Fallido</t>
        </is>
      </c>
      <c r="K18" s="143" t="inlineStr">
        <is>
          <t>Hay que bloquear dominios externos, solo deberia dejar @cua.uam.mx</t>
        </is>
      </c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</row>
    <row r="19" ht="76" customHeight="1" s="92">
      <c r="A19" s="136" t="inlineStr">
        <is>
          <t>HU-01.1</t>
        </is>
      </c>
      <c r="B19" s="137" t="n">
        <v>7</v>
      </c>
      <c r="C19" s="138" t="inlineStr">
        <is>
          <t>a)</t>
        </is>
      </c>
      <c r="D19" s="139" t="inlineStr">
        <is>
          <t>Alta</t>
        </is>
      </c>
      <c r="E19" s="140" t="inlineStr">
        <is>
          <t>Funcional</t>
        </is>
      </c>
      <c r="F19" s="140" t="inlineStr">
        <is>
          <t>Ingreso a la aplicación web a traves del enlace o instalación de la APK: https://unibuyc-web.vercel.app/</t>
        </is>
      </c>
      <c r="G19" s="140" t="inlineStr">
        <is>
          <t>1. Poner correo y contraseña correctos 2. Clic en Iniciar sesión</t>
        </is>
      </c>
      <c r="H19" s="140" t="inlineStr">
        <is>
          <t>Que entre a la app y se vean los productos</t>
        </is>
      </c>
      <c r="I19" s="140" t="inlineStr">
        <is>
          <t>Entra sin problema y muestra la pantalla de inicio con los productos</t>
        </is>
      </c>
      <c r="J19" s="141" t="inlineStr">
        <is>
          <t>Aprobado</t>
        </is>
      </c>
      <c r="K19" s="140" t="n"/>
      <c r="M19" s="91" t="n"/>
      <c r="N19" s="91" t="n"/>
      <c r="O19" s="91" t="n"/>
      <c r="P19" s="91" t="n"/>
      <c r="Q19" s="91" t="n"/>
      <c r="R19" s="91" t="n"/>
      <c r="S19" s="91" t="n"/>
      <c r="T19" s="91" t="n"/>
      <c r="U19" s="91" t="n"/>
      <c r="V19" s="91" t="n"/>
      <c r="W19" s="91" t="n"/>
      <c r="X19" s="91" t="n"/>
      <c r="Y19" s="91" t="n"/>
      <c r="Z19" s="91" t="n"/>
      <c r="AA19" s="91" t="n"/>
    </row>
    <row r="20" ht="76" customHeight="1" s="92">
      <c r="A20" s="145" t="inlineStr">
        <is>
          <t>HU-01.1</t>
        </is>
      </c>
      <c r="B20" s="137" t="n">
        <v>8</v>
      </c>
      <c r="C20" s="142" t="inlineStr">
        <is>
          <t>a)</t>
        </is>
      </c>
      <c r="D20" s="139" t="inlineStr">
        <is>
          <t>Alta</t>
        </is>
      </c>
      <c r="E20" s="143" t="inlineStr">
        <is>
          <t>Seguridad</t>
        </is>
      </c>
      <c r="F20" s="143" t="inlineStr">
        <is>
          <t>Ingreso a la aplicación web a traves del enlace o instalación de la APK: https://unibuyc-web.vercel.app/</t>
        </is>
      </c>
      <c r="G20" s="143" t="inlineStr">
        <is>
          <t>1. Poner el correo bien y la contraseña mal 2. Clic en Iniciar sesión</t>
        </is>
      </c>
      <c r="H20" s="143" t="inlineStr">
        <is>
          <t>Que no deje entrar y avise que los datos estan mal</t>
        </is>
      </c>
      <c r="I20" s="143" t="inlineStr">
        <is>
          <t>No deja entrar y sale un aviso de que no se pudo iniciar sesión</t>
        </is>
      </c>
      <c r="J20" s="141" t="inlineStr">
        <is>
          <t>Aprobado</t>
        </is>
      </c>
      <c r="K20" s="143" t="inlineStr">
        <is>
          <t>El aviso dice si lo que esta mal es el correo o la contraseña, con eso se puede saber que correos estan registrados</t>
        </is>
      </c>
      <c r="M20" s="91" t="n"/>
      <c r="N20" s="91" t="n"/>
      <c r="O20" s="91" t="n"/>
      <c r="P20" s="91" t="n"/>
      <c r="Q20" s="91" t="n"/>
      <c r="R20" s="91" t="n"/>
      <c r="S20" s="91" t="n"/>
      <c r="T20" s="91" t="n"/>
      <c r="U20" s="91" t="n"/>
      <c r="V20" s="91" t="n"/>
      <c r="W20" s="91" t="n"/>
      <c r="X20" s="91" t="n"/>
      <c r="Y20" s="91" t="n"/>
      <c r="Z20" s="91" t="n"/>
      <c r="AA20" s="91" t="n"/>
    </row>
    <row r="21" ht="100" customHeight="1" s="92">
      <c r="A21" s="145" t="inlineStr">
        <is>
          <t>HU-01.1</t>
        </is>
      </c>
      <c r="B21" s="137" t="n">
        <v>9</v>
      </c>
      <c r="C21" s="138" t="inlineStr">
        <is>
          <t>a)</t>
        </is>
      </c>
      <c r="D21" s="139" t="inlineStr">
        <is>
          <t>Alta</t>
        </is>
      </c>
      <c r="E21" s="140" t="inlineStr">
        <is>
          <t>Seguridad</t>
        </is>
      </c>
      <c r="F21" s="140" t="inlineStr">
        <is>
          <t>Ingreso a la aplicación web a traves del enlace o instalación de la APK: https://unibuyc-web.vercel.app/ con una cuenta que este suspendida</t>
        </is>
      </c>
      <c r="G21" s="140" t="inlineStr">
        <is>
          <t>1. Poner correo y contraseña de la cuenta suspendida 2. Clic en Iniciar sesión</t>
        </is>
      </c>
      <c r="H21" s="140" t="inlineStr">
        <is>
          <t>Que no deje entrar y diga que la cuenta esta suspendida</t>
        </is>
      </c>
      <c r="I21" s="140" t="inlineStr">
        <is>
          <t>No deja entrar y avisa hasta cuando esta suspendida y el motivo</t>
        </is>
      </c>
      <c r="J21" s="141" t="inlineStr">
        <is>
          <t>Aprobado</t>
        </is>
      </c>
      <c r="K21" s="140" t="n"/>
      <c r="M21" s="91" t="n"/>
      <c r="N21" s="91" t="n"/>
      <c r="O21" s="91" t="n"/>
      <c r="P21" s="91" t="n"/>
      <c r="Q21" s="91" t="n"/>
      <c r="R21" s="91" t="n"/>
      <c r="S21" s="91" t="n"/>
      <c r="T21" s="91" t="n"/>
      <c r="U21" s="91" t="n"/>
      <c r="V21" s="91" t="n"/>
      <c r="W21" s="91" t="n"/>
      <c r="X21" s="91" t="n"/>
      <c r="Y21" s="91" t="n"/>
      <c r="Z21" s="91" t="n"/>
      <c r="AA21" s="91" t="n"/>
    </row>
    <row r="22" ht="76" customHeight="1" s="92">
      <c r="A22" s="145" t="inlineStr">
        <is>
          <t>HU-01.1</t>
        </is>
      </c>
      <c r="B22" s="137" t="n">
        <v>10</v>
      </c>
      <c r="C22" s="142" t="inlineStr">
        <is>
          <t>b)</t>
        </is>
      </c>
      <c r="D22" s="144" t="inlineStr">
        <is>
          <t>Media</t>
        </is>
      </c>
      <c r="E22" s="143" t="inlineStr">
        <is>
          <t>Funcional</t>
        </is>
      </c>
      <c r="F22" s="143" t="inlineStr">
        <is>
          <t>Ingreso a la aplicación web a traves del enlace o instalación de la APK: https://unibuyc-web.vercel.app/</t>
        </is>
      </c>
      <c r="G22" s="143" t="inlineStr">
        <is>
          <t>1. En la pantalla de inicio de sesión buscar la opción de recuperar contraseña</t>
        </is>
      </c>
      <c r="H22" s="143" t="inlineStr">
        <is>
          <t>Que se pueda recuperar la contraseña por correo</t>
        </is>
      </c>
      <c r="I22" s="143" t="inlineStr">
        <is>
          <t>No existe la opción de recuperar la contraseña</t>
        </is>
      </c>
      <c r="J22" s="139" t="inlineStr">
        <is>
          <t>Fallido</t>
        </is>
      </c>
      <c r="K22" s="143" t="inlineStr">
        <is>
          <t>Falta implementarlo, por ahora solo el administrador puede cambiar la contraseña desde el panel</t>
        </is>
      </c>
      <c r="M22" s="91" t="n"/>
      <c r="N22" s="91" t="n"/>
      <c r="O22" s="91" t="n"/>
      <c r="P22" s="91" t="n"/>
      <c r="Q22" s="91" t="n"/>
      <c r="R22" s="91" t="n"/>
      <c r="S22" s="91" t="n"/>
      <c r="T22" s="91" t="n"/>
      <c r="U22" s="91" t="n"/>
      <c r="V22" s="91" t="n"/>
      <c r="W22" s="91" t="n"/>
      <c r="X22" s="91" t="n"/>
      <c r="Y22" s="91" t="n"/>
      <c r="Z22" s="91" t="n"/>
      <c r="AA22" s="91" t="n"/>
    </row>
    <row r="23" ht="88" customHeight="1" s="92">
      <c r="A23" s="145" t="inlineStr">
        <is>
          <t>HU-02</t>
        </is>
      </c>
      <c r="B23" s="137" t="n">
        <v>11</v>
      </c>
      <c r="C23" s="138" t="inlineStr">
        <is>
          <t>a)</t>
        </is>
      </c>
      <c r="D23" s="139" t="inlineStr">
        <is>
          <t>Alta</t>
        </is>
      </c>
      <c r="E23" s="140" t="inlineStr">
        <is>
          <t>Funcional</t>
        </is>
      </c>
      <c r="F23" s="140" t="inlineStr">
        <is>
          <t>Ingreso a la aplicación web a traves del enlace o instalación de la APK: https://unibuyc-web.vercel.app/ y tener la sesión iniciada</t>
        </is>
      </c>
      <c r="G23" s="140" t="inlineStr">
        <is>
          <t>1. Clic en el botón + 2. Agregar una foto 3. Llenar título, precio, categoría y descripción 4. Clic en Publicar Ahora</t>
        </is>
      </c>
      <c r="H23" s="140" t="inlineStr">
        <is>
          <t>Que se publique el producto y aparezca en el inicio</t>
        </is>
      </c>
      <c r="I23" s="140" t="inlineStr">
        <is>
          <t>Se publica correctamente, sale el aviso de publicado y el producto aparece en el inicio con su foto y sus datos</t>
        </is>
      </c>
      <c r="J23" s="141" t="inlineStr">
        <is>
          <t>Aprobado</t>
        </is>
      </c>
      <c r="K23" s="140" t="n"/>
      <c r="M23" s="91" t="n"/>
      <c r="N23" s="91" t="n"/>
      <c r="O23" s="91" t="n"/>
      <c r="P23" s="91" t="n"/>
      <c r="Q23" s="91" t="n"/>
      <c r="R23" s="91" t="n"/>
      <c r="S23" s="91" t="n"/>
      <c r="T23" s="91" t="n"/>
      <c r="U23" s="91" t="n"/>
      <c r="V23" s="91" t="n"/>
      <c r="W23" s="91" t="n"/>
      <c r="X23" s="91" t="n"/>
      <c r="Y23" s="91" t="n"/>
      <c r="Z23" s="91" t="n"/>
      <c r="AA23" s="91" t="n"/>
    </row>
    <row r="24" ht="88" customHeight="1" s="92">
      <c r="A24" s="145" t="inlineStr">
        <is>
          <t>HU-02</t>
        </is>
      </c>
      <c r="B24" s="137" t="n">
        <v>12</v>
      </c>
      <c r="C24" s="142" t="inlineStr">
        <is>
          <t>b)</t>
        </is>
      </c>
      <c r="D24" s="139" t="inlineStr">
        <is>
          <t>Alta</t>
        </is>
      </c>
      <c r="E24" s="143" t="inlineStr">
        <is>
          <t>Funcional</t>
        </is>
      </c>
      <c r="F24" s="143" t="inlineStr">
        <is>
          <t>Ingreso a la aplicación web a traves del enlace o instalación de la APK: https://unibuyc-web.vercel.app/ y tener la sesión iniciada</t>
        </is>
      </c>
      <c r="G24" s="143" t="inlineStr">
        <is>
          <t>1. Clic en el botón + 2. Llenar todo menos el título 3. Clic en Publicar Ahora</t>
        </is>
      </c>
      <c r="H24" s="143" t="inlineStr">
        <is>
          <t>Que no deje publicar si falta el título</t>
        </is>
      </c>
      <c r="I24" s="143" t="inlineStr">
        <is>
          <t>No deja publicar y sale un aviso de que faltan datos</t>
        </is>
      </c>
      <c r="J24" s="141" t="inlineStr">
        <is>
          <t>Aprobado</t>
        </is>
      </c>
      <c r="K24" s="143" t="n"/>
      <c r="M24" s="91" t="n"/>
      <c r="N24" s="91" t="n"/>
      <c r="O24" s="91" t="n"/>
      <c r="P24" s="91" t="n"/>
      <c r="Q24" s="91" t="n"/>
      <c r="R24" s="91" t="n"/>
      <c r="S24" s="91" t="n"/>
      <c r="T24" s="91" t="n"/>
      <c r="U24" s="91" t="n"/>
      <c r="V24" s="91" t="n"/>
      <c r="W24" s="91" t="n"/>
      <c r="X24" s="91" t="n"/>
      <c r="Y24" s="91" t="n"/>
      <c r="Z24" s="91" t="n"/>
      <c r="AA24" s="91" t="n"/>
    </row>
    <row r="25" ht="88" customHeight="1" s="92">
      <c r="A25" s="145" t="inlineStr">
        <is>
          <t>HU-02</t>
        </is>
      </c>
      <c r="B25" s="137" t="n">
        <v>13</v>
      </c>
      <c r="C25" s="138" t="inlineStr">
        <is>
          <t>b)</t>
        </is>
      </c>
      <c r="D25" s="139" t="inlineStr">
        <is>
          <t>Alta</t>
        </is>
      </c>
      <c r="E25" s="140" t="inlineStr">
        <is>
          <t>Funcional</t>
        </is>
      </c>
      <c r="F25" s="140" t="inlineStr">
        <is>
          <t>Ingreso a la aplicación web a traves del enlace o instalación de la APK: https://unibuyc-web.vercel.app/ y tener la sesión iniciada</t>
        </is>
      </c>
      <c r="G25" s="140" t="inlineStr">
        <is>
          <t>1. Clic en el botón + 2. Llenar todo sin elegir categoría 3. Clic en Publicar Ahora</t>
        </is>
      </c>
      <c r="H25" s="140" t="inlineStr">
        <is>
          <t>Que no deje publicar si falta la categoría</t>
        </is>
      </c>
      <c r="I25" s="140" t="inlineStr">
        <is>
          <t>No deja publicar y avisa que falta elegir la categoría</t>
        </is>
      </c>
      <c r="J25" s="141" t="inlineStr">
        <is>
          <t>Aprobado</t>
        </is>
      </c>
      <c r="K25" s="140" t="n"/>
      <c r="M25" s="91" t="n"/>
      <c r="N25" s="91" t="n"/>
      <c r="O25" s="91" t="n"/>
      <c r="P25" s="91" t="n"/>
      <c r="Q25" s="91" t="n"/>
      <c r="R25" s="91" t="n"/>
      <c r="S25" s="91" t="n"/>
      <c r="T25" s="91" t="n"/>
      <c r="U25" s="91" t="n"/>
      <c r="V25" s="91" t="n"/>
      <c r="W25" s="91" t="n"/>
      <c r="X25" s="91" t="n"/>
      <c r="Y25" s="91" t="n"/>
      <c r="Z25" s="91" t="n"/>
      <c r="AA25" s="91" t="n"/>
    </row>
    <row r="26" ht="88" customHeight="1" s="92">
      <c r="A26" s="145" t="inlineStr">
        <is>
          <t>HU-02</t>
        </is>
      </c>
      <c r="B26" s="137" t="n">
        <v>14</v>
      </c>
      <c r="C26" s="142" t="inlineStr">
        <is>
          <t>b)</t>
        </is>
      </c>
      <c r="D26" s="144" t="inlineStr">
        <is>
          <t>Media</t>
        </is>
      </c>
      <c r="E26" s="143" t="inlineStr">
        <is>
          <t>Funcional</t>
        </is>
      </c>
      <c r="F26" s="143" t="inlineStr">
        <is>
          <t>Ingreso a la aplicación web a traves del enlace o instalación de la APK: https://unibuyc-web.vercel.app/ y tener la sesión iniciada</t>
        </is>
      </c>
      <c r="G26" s="143" t="inlineStr">
        <is>
          <t>1. Clic en el botón + 2. Llenar todo sin poner foto 3. Clic en Publicar Ahora</t>
        </is>
      </c>
      <c r="H26" s="143" t="inlineStr">
        <is>
          <t>Que no deje publicar sin foto</t>
        </is>
      </c>
      <c r="I26" s="143" t="inlineStr">
        <is>
          <t>Deja publicar sin foto y el producto sale con una imagen genérica</t>
        </is>
      </c>
      <c r="J26" s="139" t="inlineStr">
        <is>
          <t>Fallido</t>
        </is>
      </c>
      <c r="K26" s="143" t="inlineStr">
        <is>
          <t>La foto deberia ser obligatoria igual que los demás campos</t>
        </is>
      </c>
      <c r="M26" s="91" t="n"/>
      <c r="N26" s="91" t="n"/>
      <c r="O26" s="91" t="n"/>
      <c r="P26" s="91" t="n"/>
      <c r="Q26" s="91" t="n"/>
      <c r="R26" s="91" t="n"/>
      <c r="S26" s="91" t="n"/>
      <c r="T26" s="91" t="n"/>
      <c r="U26" s="91" t="n"/>
      <c r="V26" s="91" t="n"/>
      <c r="W26" s="91" t="n"/>
      <c r="X26" s="91" t="n"/>
      <c r="Y26" s="91" t="n"/>
      <c r="Z26" s="91" t="n"/>
      <c r="AA26" s="91" t="n"/>
    </row>
    <row r="27" ht="88" customHeight="1" s="92">
      <c r="A27" s="145" t="inlineStr">
        <is>
          <t>HU-02</t>
        </is>
      </c>
      <c r="B27" s="137" t="n">
        <v>15</v>
      </c>
      <c r="C27" s="138" t="inlineStr">
        <is>
          <t>c)</t>
        </is>
      </c>
      <c r="D27" s="139" t="inlineStr">
        <is>
          <t>Alta</t>
        </is>
      </c>
      <c r="E27" s="140" t="inlineStr">
        <is>
          <t>Límites</t>
        </is>
      </c>
      <c r="F27" s="140" t="inlineStr">
        <is>
          <t>Ingreso a la aplicación web a traves del enlace o instalación de la APK: https://unibuyc-web.vercel.app/ y tener la sesión iniciada</t>
        </is>
      </c>
      <c r="G27" s="140" t="inlineStr">
        <is>
          <t>1. Clic en el botón + 2. Poner el precio en 0 3. Llenar lo demás 4. Clic en Publicar Ahora</t>
        </is>
      </c>
      <c r="H27" s="140" t="inlineStr">
        <is>
          <t>Que no deje publicar con precio 0</t>
        </is>
      </c>
      <c r="I27" s="140" t="inlineStr">
        <is>
          <t>No deja publicar y avisa que el precio tiene que ser mayor a 0</t>
        </is>
      </c>
      <c r="J27" s="141" t="inlineStr">
        <is>
          <t>Aprobado</t>
        </is>
      </c>
      <c r="K27" s="140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</row>
    <row r="28" ht="88" customHeight="1" s="92">
      <c r="A28" s="145" t="inlineStr">
        <is>
          <t>HU-02.1</t>
        </is>
      </c>
      <c r="B28" s="137" t="n">
        <v>16</v>
      </c>
      <c r="C28" s="142" t="inlineStr">
        <is>
          <t>a)</t>
        </is>
      </c>
      <c r="D28" s="139" t="inlineStr">
        <is>
          <t>Alta</t>
        </is>
      </c>
      <c r="E28" s="143" t="inlineStr">
        <is>
          <t>Usabilidad</t>
        </is>
      </c>
      <c r="F28" s="143" t="inlineStr">
        <is>
          <t>Ingreso a la aplicación web a traves del enlace o instalación de la APK: https://unibuyc-web.vercel.app/ y entrar como invitado</t>
        </is>
      </c>
      <c r="G28" s="143" t="inlineStr">
        <is>
          <t>1. Clic en el botón + para publicar</t>
        </is>
      </c>
      <c r="H28" s="143" t="inlineStr">
        <is>
          <t>Que salga un aviso invitando a registrarse</t>
        </is>
      </c>
      <c r="I28" s="143" t="inlineStr">
        <is>
          <t>Sale el aviso de que necesitas una cuenta con los botones "Ahora no" e "Iniciar sesión"</t>
        </is>
      </c>
      <c r="J28" s="141" t="inlineStr">
        <is>
          <t>Aprobado</t>
        </is>
      </c>
      <c r="K28" s="143" t="n"/>
      <c r="M28" s="91" t="n"/>
      <c r="N28" s="91" t="n"/>
      <c r="O28" s="91" t="n"/>
      <c r="P28" s="91" t="n"/>
      <c r="Q28" s="91" t="n"/>
      <c r="R28" s="91" t="n"/>
      <c r="S28" s="91" t="n"/>
      <c r="T28" s="91" t="n"/>
      <c r="U28" s="91" t="n"/>
      <c r="V28" s="91" t="n"/>
      <c r="W28" s="91" t="n"/>
      <c r="X28" s="91" t="n"/>
      <c r="Y28" s="91" t="n"/>
      <c r="Z28" s="91" t="n"/>
      <c r="AA28" s="91" t="n"/>
    </row>
    <row r="29" ht="88" customHeight="1" s="92">
      <c r="A29" s="146" t="inlineStr">
        <is>
          <t>HU-02.1</t>
        </is>
      </c>
      <c r="B29" s="137" t="n">
        <v>17</v>
      </c>
      <c r="C29" s="138" t="inlineStr">
        <is>
          <t>b)</t>
        </is>
      </c>
      <c r="D29" s="144" t="inlineStr">
        <is>
          <t>Media</t>
        </is>
      </c>
      <c r="E29" s="140" t="inlineStr">
        <is>
          <t>Usabilidad</t>
        </is>
      </c>
      <c r="F29" s="140" t="inlineStr">
        <is>
          <t>Ingreso a la aplicación web a traves del enlace o instalación de la APK: https://unibuyc-web.vercel.app/ y entrar como invitado</t>
        </is>
      </c>
      <c r="G29" s="140" t="inlineStr">
        <is>
          <t>1. Clic en el botón + 2. Clic en "Ahora no"</t>
        </is>
      </c>
      <c r="H29" s="140" t="inlineStr">
        <is>
          <t>Que se cierre el aviso y se pueda seguir viendo la app</t>
        </is>
      </c>
      <c r="I29" s="140" t="inlineStr">
        <is>
          <t>Se cierra el aviso y se sigue viendo el inicio normal</t>
        </is>
      </c>
      <c r="J29" s="141" t="inlineStr">
        <is>
          <t>Aprobado</t>
        </is>
      </c>
      <c r="K29" s="140" t="n"/>
      <c r="M29" s="91" t="n"/>
      <c r="N29" s="91" t="n"/>
      <c r="O29" s="91" t="n"/>
      <c r="P29" s="91" t="n"/>
      <c r="Q29" s="91" t="n"/>
      <c r="R29" s="91" t="n"/>
      <c r="S29" s="91" t="n"/>
      <c r="T29" s="91" t="n"/>
      <c r="U29" s="91" t="n"/>
      <c r="V29" s="91" t="n"/>
      <c r="W29" s="91" t="n"/>
      <c r="X29" s="91" t="n"/>
      <c r="Y29" s="91" t="n"/>
      <c r="Z29" s="91" t="n"/>
      <c r="AA29" s="91" t="n"/>
    </row>
    <row r="30" ht="88" customHeight="1" s="92">
      <c r="A30" s="136" t="inlineStr">
        <is>
          <t>HU-02.1</t>
        </is>
      </c>
      <c r="B30" s="137" t="n">
        <v>18</v>
      </c>
      <c r="C30" s="142" t="inlineStr">
        <is>
          <t>c)</t>
        </is>
      </c>
      <c r="D30" s="144" t="inlineStr">
        <is>
          <t>Media</t>
        </is>
      </c>
      <c r="E30" s="143" t="inlineStr">
        <is>
          <t>Funcional</t>
        </is>
      </c>
      <c r="F30" s="143" t="inlineStr">
        <is>
          <t>Ingreso a la aplicación web a traves del enlace o instalación de la APK: https://unibuyc-web.vercel.app/ y entrar como invitado</t>
        </is>
      </c>
      <c r="G30" s="143" t="inlineStr">
        <is>
          <t>1. Clic en el botón + 2. Clic en "Iniciar sesión"</t>
        </is>
      </c>
      <c r="H30" s="143" t="inlineStr">
        <is>
          <t>Que mande a la pantalla principal</t>
        </is>
      </c>
      <c r="I30" s="143" t="inlineStr">
        <is>
          <t>Manda a la pantalla de inicio de sesión</t>
        </is>
      </c>
      <c r="J30" s="141" t="inlineStr">
        <is>
          <t>Aprobado</t>
        </is>
      </c>
      <c r="K30" s="143" t="n"/>
      <c r="M30" s="91" t="n"/>
      <c r="N30" s="91" t="n"/>
      <c r="O30" s="91" t="n"/>
      <c r="P30" s="91" t="n"/>
      <c r="Q30" s="91" t="n"/>
      <c r="R30" s="91" t="n"/>
      <c r="S30" s="91" t="n"/>
      <c r="T30" s="91" t="n"/>
      <c r="U30" s="91" t="n"/>
      <c r="V30" s="91" t="n"/>
      <c r="W30" s="91" t="n"/>
      <c r="X30" s="91" t="n"/>
      <c r="Y30" s="91" t="n"/>
      <c r="Z30" s="91" t="n"/>
      <c r="AA30" s="91" t="n"/>
    </row>
    <row r="31" ht="88" customHeight="1" s="92">
      <c r="A31" s="136" t="inlineStr">
        <is>
          <t>HU-03</t>
        </is>
      </c>
      <c r="B31" s="137" t="n">
        <v>19</v>
      </c>
      <c r="C31" s="138" t="inlineStr">
        <is>
          <t>a)</t>
        </is>
      </c>
      <c r="D31" s="139" t="inlineStr">
        <is>
          <t>Alta</t>
        </is>
      </c>
      <c r="E31" s="140" t="inlineStr">
        <is>
          <t>Funcional</t>
        </is>
      </c>
      <c r="F31" s="140" t="inlineStr">
        <is>
          <t>Ingreso a la aplicación web a traves del enlace o instalación de la APK: https://unibuyc-web.vercel.app/ y tener la sesión iniciada</t>
        </is>
      </c>
      <c r="G31" s="140" t="inlineStr">
        <is>
          <t>1. En el inicio escribir el nombre de un producto en el buscador</t>
        </is>
      </c>
      <c r="H31" s="140" t="inlineStr">
        <is>
          <t>Que salgan los productos relacionados con lo que se busco</t>
        </is>
      </c>
      <c r="I31" s="140" t="inlineStr">
        <is>
          <t>Salen solo los productos que coinciden con la búsqueda</t>
        </is>
      </c>
      <c r="J31" s="141" t="inlineStr">
        <is>
          <t>Aprobado</t>
        </is>
      </c>
      <c r="K31" s="140" t="n"/>
      <c r="L31" s="91" t="n"/>
      <c r="M31" s="91" t="n"/>
      <c r="N31" s="91" t="n"/>
      <c r="O31" s="91" t="n"/>
      <c r="P31" s="91" t="n"/>
      <c r="Q31" s="91" t="n"/>
      <c r="R31" s="91" t="n"/>
      <c r="S31" s="91" t="n"/>
      <c r="T31" s="91" t="n"/>
      <c r="U31" s="91" t="n"/>
      <c r="V31" s="91" t="n"/>
      <c r="W31" s="91" t="n"/>
      <c r="X31" s="91" t="n"/>
      <c r="Y31" s="91" t="n"/>
      <c r="Z31" s="91" t="n"/>
      <c r="AA31" s="91" t="n"/>
    </row>
    <row r="32" ht="88" customHeight="1" s="92">
      <c r="A32" s="136" t="inlineStr">
        <is>
          <t>HU-03</t>
        </is>
      </c>
      <c r="B32" s="137" t="n">
        <v>20</v>
      </c>
      <c r="C32" s="142" t="inlineStr">
        <is>
          <t>b)</t>
        </is>
      </c>
      <c r="D32" s="139" t="inlineStr">
        <is>
          <t>Alta</t>
        </is>
      </c>
      <c r="E32" s="143" t="inlineStr">
        <is>
          <t>Funcional</t>
        </is>
      </c>
      <c r="F32" s="143" t="inlineStr">
        <is>
          <t>Ingreso a la aplicación web a traves del enlace o instalación de la APK: https://unibuyc-web.vercel.app/ y tener la sesión iniciada</t>
        </is>
      </c>
      <c r="G32" s="143" t="inlineStr">
        <is>
          <t>1. Buscar un producto 2. Darle clic</t>
        </is>
      </c>
      <c r="H32" s="143" t="inlineStr">
        <is>
          <t>Que se vea el nombre, precio, vendedor y tipo del producto</t>
        </is>
      </c>
      <c r="I32" s="143" t="inlineStr">
        <is>
          <t>Se ve el nombre, precio, vendedor, categoría y la descripción</t>
        </is>
      </c>
      <c r="J32" s="141" t="inlineStr">
        <is>
          <t>Aprobado</t>
        </is>
      </c>
      <c r="K32" s="143" t="n"/>
      <c r="L32" s="91" t="n"/>
      <c r="M32" s="91" t="n"/>
      <c r="N32" s="91" t="n"/>
      <c r="O32" s="91" t="n"/>
      <c r="P32" s="91" t="n"/>
      <c r="Q32" s="91" t="n"/>
      <c r="R32" s="91" t="n"/>
      <c r="S32" s="91" t="n"/>
      <c r="T32" s="91" t="n"/>
      <c r="U32" s="91" t="n"/>
      <c r="V32" s="91" t="n"/>
      <c r="W32" s="91" t="n"/>
      <c r="X32" s="91" t="n"/>
      <c r="Y32" s="91" t="n"/>
      <c r="Z32" s="91" t="n"/>
      <c r="AA32" s="91" t="n"/>
    </row>
    <row r="33" ht="88" customHeight="1" s="92">
      <c r="A33" s="136" t="inlineStr">
        <is>
          <t>HU-03</t>
        </is>
      </c>
      <c r="B33" s="137" t="n">
        <v>21</v>
      </c>
      <c r="C33" s="138" t="inlineStr">
        <is>
          <t>c)</t>
        </is>
      </c>
      <c r="D33" s="139" t="inlineStr">
        <is>
          <t>Alta</t>
        </is>
      </c>
      <c r="E33" s="140" t="inlineStr">
        <is>
          <t>Funcional</t>
        </is>
      </c>
      <c r="F33" s="140" t="inlineStr">
        <is>
          <t>Ingreso a la aplicación web a traves del enlace o instalación de la APK: https://unibuyc-web.vercel.app/ y tener la sesión iniciada</t>
        </is>
      </c>
      <c r="G33" s="140" t="inlineStr">
        <is>
          <t>1. Entrar a un producto de otra persona 2. Clic en Contactar Vendedor</t>
        </is>
      </c>
      <c r="H33" s="140" t="inlineStr">
        <is>
          <t>Que se abra un chat privado con el vendedor</t>
        </is>
      </c>
      <c r="I33" s="140" t="inlineStr">
        <is>
          <t>Se abre el chat con el vendedor correctamente</t>
        </is>
      </c>
      <c r="J33" s="141" t="inlineStr">
        <is>
          <t>Aprobado</t>
        </is>
      </c>
      <c r="K33" s="140" t="n"/>
      <c r="L33" s="91" t="n"/>
      <c r="M33" s="91" t="n"/>
      <c r="N33" s="91" t="n"/>
      <c r="O33" s="91" t="n"/>
      <c r="P33" s="91" t="n"/>
      <c r="Q33" s="91" t="n"/>
      <c r="R33" s="91" t="n"/>
      <c r="S33" s="91" t="n"/>
      <c r="T33" s="91" t="n"/>
      <c r="U33" s="91" t="n"/>
      <c r="V33" s="91" t="n"/>
      <c r="W33" s="91" t="n"/>
      <c r="X33" s="91" t="n"/>
      <c r="Y33" s="91" t="n"/>
      <c r="Z33" s="91" t="n"/>
      <c r="AA33" s="91" t="n"/>
    </row>
    <row r="34" ht="100" customHeight="1" s="92">
      <c r="A34" s="136" t="inlineStr">
        <is>
          <t>HU-03</t>
        </is>
      </c>
      <c r="B34" s="137" t="n">
        <v>22</v>
      </c>
      <c r="C34" s="142" t="inlineStr">
        <is>
          <t>c)</t>
        </is>
      </c>
      <c r="D34" s="139" t="inlineStr">
        <is>
          <t>Alta</t>
        </is>
      </c>
      <c r="E34" s="143" t="inlineStr">
        <is>
          <t>Seguridad</t>
        </is>
      </c>
      <c r="F34" s="143" t="inlineStr">
        <is>
          <t>Tener Postman o similar para mandar las peticiones a la API: https://unibyc-api.vercel.app y tener una tercera cuenta que no este en el chat</t>
        </is>
      </c>
      <c r="G34" s="143" t="inlineStr">
        <is>
          <t>1. Con la otra cuenta intentar leer y escribir en el chat de alguien más</t>
        </is>
      </c>
      <c r="H34" s="143" t="inlineStr">
        <is>
          <t>Que nadie más pueda ver el chat</t>
        </is>
      </c>
      <c r="I34" s="143" t="inlineStr">
        <is>
          <t>No deja leer ni escribir, dice que no participas en esa conversación</t>
        </is>
      </c>
      <c r="J34" s="141" t="inlineStr">
        <is>
          <t>Aprobado</t>
        </is>
      </c>
      <c r="K34" s="143" t="n"/>
      <c r="L34" s="91" t="n"/>
      <c r="M34" s="91" t="n"/>
      <c r="N34" s="91" t="n"/>
      <c r="O34" s="91" t="n"/>
      <c r="P34" s="91" t="n"/>
      <c r="Q34" s="91" t="n"/>
      <c r="R34" s="91" t="n"/>
      <c r="S34" s="91" t="n"/>
      <c r="T34" s="91" t="n"/>
      <c r="U34" s="91" t="n"/>
      <c r="V34" s="91" t="n"/>
      <c r="W34" s="91" t="n"/>
      <c r="X34" s="91" t="n"/>
      <c r="Y34" s="91" t="n"/>
      <c r="Z34" s="91" t="n"/>
      <c r="AA34" s="91" t="n"/>
    </row>
    <row r="35" ht="88" customHeight="1" s="92">
      <c r="A35" s="136" t="inlineStr">
        <is>
          <t>HU-03</t>
        </is>
      </c>
      <c r="B35" s="137" t="n">
        <v>23</v>
      </c>
      <c r="C35" s="138" t="inlineStr">
        <is>
          <t>d)</t>
        </is>
      </c>
      <c r="D35" s="139" t="inlineStr">
        <is>
          <t>Alta</t>
        </is>
      </c>
      <c r="E35" s="140" t="inlineStr">
        <is>
          <t>Funcional</t>
        </is>
      </c>
      <c r="F35" s="140" t="inlineStr">
        <is>
          <t>Ingreso a la aplicación web a traves del enlace o instalación de la APK: https://unibuyc-web.vercel.app/ y tener la sesión iniciada</t>
        </is>
      </c>
      <c r="G35" s="140" t="inlineStr">
        <is>
          <t>1. Entrar a un producto de otra persona 2. Calificarlo con 4 estrellas</t>
        </is>
      </c>
      <c r="H35" s="140" t="inlineStr">
        <is>
          <t>Que se guarde la calificación</t>
        </is>
      </c>
      <c r="I35" s="140" t="inlineStr">
        <is>
          <t>Se guarda y el promedio del producto se actualiza</t>
        </is>
      </c>
      <c r="J35" s="141" t="inlineStr">
        <is>
          <t>Aprobado</t>
        </is>
      </c>
      <c r="K35" s="140" t="inlineStr">
        <is>
          <t>Se probó mandando la petición directo a la API (es lo mismo que hace el panel)</t>
        </is>
      </c>
      <c r="L35" s="91" t="n"/>
      <c r="M35" s="91" t="n"/>
      <c r="N35" s="91" t="n"/>
      <c r="O35" s="91" t="n"/>
      <c r="P35" s="91" t="n"/>
      <c r="Q35" s="91" t="n"/>
      <c r="R35" s="91" t="n"/>
      <c r="S35" s="91" t="n"/>
      <c r="T35" s="91" t="n"/>
      <c r="U35" s="91" t="n"/>
      <c r="V35" s="91" t="n"/>
      <c r="W35" s="91" t="n"/>
      <c r="X35" s="91" t="n"/>
      <c r="Y35" s="91" t="n"/>
      <c r="Z35" s="91" t="n"/>
      <c r="AA35" s="91" t="n"/>
    </row>
    <row r="36" ht="148" customHeight="1" s="92">
      <c r="A36" s="136" t="inlineStr">
        <is>
          <t>HU-03</t>
        </is>
      </c>
      <c r="B36" s="137" t="n">
        <v>24</v>
      </c>
      <c r="C36" s="142" t="inlineStr">
        <is>
          <t>d)</t>
        </is>
      </c>
      <c r="D36" s="139" t="inlineStr">
        <is>
          <t>Alta</t>
        </is>
      </c>
      <c r="E36" s="143" t="inlineStr">
        <is>
          <t>Seguridad</t>
        </is>
      </c>
      <c r="F36" s="143" t="inlineStr">
        <is>
          <t>Ingreso a la aplicación web a traves del enlace o instalación de la APK: https://unibuyc-web.vercel.app/ y tener la sesión iniciada con una cuenta que ya tenga productos publicados y que otra persona ya lo haya calificado</t>
        </is>
      </c>
      <c r="G36" s="143" t="inlineStr">
        <is>
          <t>1. Ver la calificación del producto desde la cuenta del vendedor</t>
        </is>
      </c>
      <c r="H36" s="143" t="inlineStr">
        <is>
          <t>Que no se sepa quien califico</t>
        </is>
      </c>
      <c r="I36" s="143" t="inlineStr">
        <is>
          <t>Solo se ve el promedio y cuantas calificaciones tiene, no quien las hizo</t>
        </is>
      </c>
      <c r="J36" s="141" t="inlineStr">
        <is>
          <t>Aprobado</t>
        </is>
      </c>
      <c r="K36" s="143" t="n"/>
      <c r="L36" s="91" t="n"/>
      <c r="M36" s="91" t="n"/>
      <c r="N36" s="91" t="n"/>
      <c r="O36" s="91" t="n"/>
      <c r="P36" s="91" t="n"/>
      <c r="Q36" s="91" t="n"/>
      <c r="R36" s="91" t="n"/>
      <c r="S36" s="91" t="n"/>
      <c r="T36" s="91" t="n"/>
      <c r="U36" s="91" t="n"/>
      <c r="V36" s="91" t="n"/>
      <c r="W36" s="91" t="n"/>
      <c r="X36" s="91" t="n"/>
      <c r="Y36" s="91" t="n"/>
      <c r="Z36" s="91" t="n"/>
      <c r="AA36" s="91" t="n"/>
    </row>
    <row r="37" ht="76" customHeight="1" s="92">
      <c r="A37" s="136" t="inlineStr">
        <is>
          <t>HU-04</t>
        </is>
      </c>
      <c r="B37" s="137" t="n">
        <v>25</v>
      </c>
      <c r="C37" s="138" t="inlineStr">
        <is>
          <t>a)</t>
        </is>
      </c>
      <c r="D37" s="139" t="inlineStr">
        <is>
          <t>Alta</t>
        </is>
      </c>
      <c r="E37" s="140" t="inlineStr">
        <is>
          <t>Funcional</t>
        </is>
      </c>
      <c r="F37" s="140" t="inlineStr">
        <is>
          <t>Tener una cuenta de administrador y entrar al panel: https://unibuyc-web.vercel.app/admin</t>
        </is>
      </c>
      <c r="G37" s="140" t="inlineStr">
        <is>
          <t>1. Iniciar sesión en el panel 2. Entrar a la pestaña Usuarios</t>
        </is>
      </c>
      <c r="H37" s="140" t="inlineStr">
        <is>
          <t>Que salga la lista de todos los usuarios registrados</t>
        </is>
      </c>
      <c r="I37" s="140" t="inlineStr">
        <is>
          <t>Salen todos los usuarios con su correo, matrícula, fecha de registro y cuantos productos tienen</t>
        </is>
      </c>
      <c r="J37" s="141" t="inlineStr">
        <is>
          <t>Aprobado</t>
        </is>
      </c>
      <c r="K37" s="140" t="n"/>
      <c r="L37" s="91" t="n"/>
      <c r="M37" s="91" t="n"/>
      <c r="N37" s="91" t="n"/>
      <c r="O37" s="91" t="n"/>
      <c r="P37" s="91" t="n"/>
      <c r="Q37" s="91" t="n"/>
      <c r="R37" s="91" t="n"/>
      <c r="S37" s="91" t="n"/>
      <c r="T37" s="91" t="n"/>
      <c r="U37" s="91" t="n"/>
      <c r="V37" s="91" t="n"/>
      <c r="W37" s="91" t="n"/>
      <c r="X37" s="91" t="n"/>
      <c r="Y37" s="91" t="n"/>
      <c r="Z37" s="91" t="n"/>
      <c r="AA37" s="91" t="n"/>
    </row>
    <row r="38" ht="64" customHeight="1" s="92">
      <c r="A38" s="136" t="inlineStr">
        <is>
          <t>HU-04</t>
        </is>
      </c>
      <c r="B38" s="137" t="n">
        <v>26</v>
      </c>
      <c r="C38" s="142" t="inlineStr">
        <is>
          <t>b)</t>
        </is>
      </c>
      <c r="D38" s="139" t="inlineStr">
        <is>
          <t>Alta</t>
        </is>
      </c>
      <c r="E38" s="143" t="inlineStr">
        <is>
          <t>Funcional</t>
        </is>
      </c>
      <c r="F38" s="143" t="inlineStr">
        <is>
          <t>Tener una cuenta de administrador y entrar al panel: https://unibuyc-web.vercel.app/admin</t>
        </is>
      </c>
      <c r="G38" s="143" t="inlineStr">
        <is>
          <t>1. Clic en Suspender en un usuario 2. Elegir 1 día y poner el motivo 3. Confirmar</t>
        </is>
      </c>
      <c r="H38" s="143" t="inlineStr">
        <is>
          <t>Que el usuario no pueda usar la app mientras este suspendido</t>
        </is>
      </c>
      <c r="I38" s="143" t="inlineStr">
        <is>
          <t>El usuario ya no puede entrar y si tenia la sesión abierta lo saca</t>
        </is>
      </c>
      <c r="J38" s="141" t="inlineStr">
        <is>
          <t>Aprobado</t>
        </is>
      </c>
      <c r="K38" s="143" t="inlineStr">
        <is>
          <t>Se probó mandando la petición directo a la API (es lo mismo que hace el panel)</t>
        </is>
      </c>
      <c r="L38" s="91" t="n"/>
      <c r="M38" s="91" t="n"/>
      <c r="N38" s="91" t="n"/>
      <c r="O38" s="91" t="n"/>
      <c r="P38" s="91" t="n"/>
      <c r="Q38" s="91" t="n"/>
      <c r="R38" s="91" t="n"/>
      <c r="S38" s="91" t="n"/>
      <c r="T38" s="91" t="n"/>
      <c r="U38" s="91" t="n"/>
      <c r="V38" s="91" t="n"/>
      <c r="W38" s="91" t="n"/>
      <c r="X38" s="91" t="n"/>
      <c r="Y38" s="91" t="n"/>
      <c r="Z38" s="91" t="n"/>
      <c r="AA38" s="91" t="n"/>
    </row>
    <row r="39" ht="88" customHeight="1" s="92">
      <c r="A39" s="136" t="inlineStr">
        <is>
          <t>HU-04</t>
        </is>
      </c>
      <c r="B39" s="137" t="n">
        <v>27</v>
      </c>
      <c r="C39" s="138" t="inlineStr">
        <is>
          <t>b)</t>
        </is>
      </c>
      <c r="D39" s="139" t="inlineStr">
        <is>
          <t>Alta</t>
        </is>
      </c>
      <c r="E39" s="140" t="inlineStr">
        <is>
          <t>Seguridad</t>
        </is>
      </c>
      <c r="F39" s="140" t="inlineStr">
        <is>
          <t>Tener una cuenta de administrador y entrar al panel: https://unibuyc-web.vercel.app/admin</t>
        </is>
      </c>
      <c r="G39" s="140" t="inlineStr">
        <is>
          <t>1. Clic en Suspender en un usuario 2. Elegir Permanente y poner el motivo 3. Intentar registrarse otra vez con su matrícula</t>
        </is>
      </c>
      <c r="H39" s="140" t="inlineStr">
        <is>
          <t>Que no pueda entrar ni hacerse otra cuenta</t>
        </is>
      </c>
      <c r="I39" s="140" t="inlineStr">
        <is>
          <t>No puede entrar y tampoco deja registrarse otra vez con su correo o matrícula</t>
        </is>
      </c>
      <c r="J39" s="141" t="inlineStr">
        <is>
          <t>Aprobado</t>
        </is>
      </c>
      <c r="K39" s="140" t="inlineStr">
        <is>
          <t>Se probó mandando la petición directo a la API (es lo mismo que hace el panel)</t>
        </is>
      </c>
      <c r="L39" s="91" t="n"/>
      <c r="M39" s="91" t="n"/>
      <c r="N39" s="91" t="n"/>
      <c r="O39" s="91" t="n"/>
      <c r="P39" s="91" t="n"/>
      <c r="Q39" s="91" t="n"/>
      <c r="R39" s="91" t="n"/>
      <c r="S39" s="91" t="n"/>
      <c r="T39" s="91" t="n"/>
      <c r="U39" s="91" t="n"/>
      <c r="V39" s="91" t="n"/>
      <c r="W39" s="91" t="n"/>
      <c r="X39" s="91" t="n"/>
      <c r="Y39" s="91" t="n"/>
      <c r="Z39" s="91" t="n"/>
      <c r="AA39" s="91" t="n"/>
    </row>
    <row r="40" ht="64" customHeight="1" s="92">
      <c r="A40" s="136" t="inlineStr">
        <is>
          <t>HU-04</t>
        </is>
      </c>
      <c r="B40" s="137" t="n">
        <v>28</v>
      </c>
      <c r="C40" s="142" t="inlineStr">
        <is>
          <t>c)</t>
        </is>
      </c>
      <c r="D40" s="139" t="inlineStr">
        <is>
          <t>Alta</t>
        </is>
      </c>
      <c r="E40" s="143" t="inlineStr">
        <is>
          <t>Funcional</t>
        </is>
      </c>
      <c r="F40" s="143" t="inlineStr">
        <is>
          <t>Tener una cuenta de administrador y entrar al panel: https://unibuyc-web.vercel.app/admin</t>
        </is>
      </c>
      <c r="G40" s="143" t="inlineStr">
        <is>
          <t>1. Entrar a la pestaña Publicaciones 2. Clic en Eliminar en un producto</t>
        </is>
      </c>
      <c r="H40" s="143" t="inlineStr">
        <is>
          <t>Que el producto ya no aparezca en el inicio</t>
        </is>
      </c>
      <c r="I40" s="143" t="inlineStr">
        <is>
          <t>Se elimina y ya no aparece en el inicio</t>
        </is>
      </c>
      <c r="J40" s="141" t="inlineStr">
        <is>
          <t>Aprobado</t>
        </is>
      </c>
      <c r="K40" s="143" t="inlineStr">
        <is>
          <t>Se probó mandando la petición directo a la API (es lo mismo que hace el panel)</t>
        </is>
      </c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  <c r="Z40" s="91" t="n"/>
      <c r="AA40" s="91" t="n"/>
    </row>
    <row r="41" ht="88" customHeight="1" s="92">
      <c r="A41" s="136" t="inlineStr">
        <is>
          <t>HU-04</t>
        </is>
      </c>
      <c r="B41" s="137" t="n">
        <v>29</v>
      </c>
      <c r="C41" s="138" t="inlineStr">
        <is>
          <t>c)</t>
        </is>
      </c>
      <c r="D41" s="144" t="inlineStr">
        <is>
          <t>Media</t>
        </is>
      </c>
      <c r="E41" s="140" t="inlineStr">
        <is>
          <t>Funcional</t>
        </is>
      </c>
      <c r="F41" s="140" t="inlineStr">
        <is>
          <t>Ingreso a la aplicación web a traves del enlace o instalación de la APK: https://unibuyc-web.vercel.app/ con la cuenta de administrador</t>
        </is>
      </c>
      <c r="G41" s="140" t="inlineStr">
        <is>
          <t>1. Entrar a un producto de otra persona desde el inicio 2. Buscar la opción de eliminar</t>
        </is>
      </c>
      <c r="H41" s="140" t="inlineStr">
        <is>
          <t>Que el administrador pueda eliminar el producto desde el inicio</t>
        </is>
      </c>
      <c r="I41" s="140" t="inlineStr">
        <is>
          <t>Desde la app no aparece la opción, el administrador ve el producto como cualquier usuario</t>
        </is>
      </c>
      <c r="J41" s="139" t="inlineStr">
        <is>
          <t>Fallido</t>
        </is>
      </c>
      <c r="K41" s="140" t="inlineStr">
        <is>
          <t>Solo se puede eliminar desde el panel /admin</t>
        </is>
      </c>
      <c r="L41" s="91" t="n"/>
      <c r="M41" s="91" t="n"/>
      <c r="N41" s="91" t="n"/>
      <c r="O41" s="91" t="n"/>
      <c r="P41" s="91" t="n"/>
      <c r="Q41" s="91" t="n"/>
      <c r="R41" s="91" t="n"/>
      <c r="S41" s="91" t="n"/>
      <c r="T41" s="91" t="n"/>
      <c r="U41" s="91" t="n"/>
      <c r="V41" s="91" t="n"/>
      <c r="W41" s="91" t="n"/>
      <c r="X41" s="91" t="n"/>
      <c r="Y41" s="91" t="n"/>
      <c r="Z41" s="91" t="n"/>
      <c r="AA41" s="91" t="n"/>
    </row>
    <row r="42" ht="100" customHeight="1" s="92">
      <c r="A42" s="136" t="inlineStr">
        <is>
          <t>HU-04-1</t>
        </is>
      </c>
      <c r="B42" s="137" t="n">
        <v>30</v>
      </c>
      <c r="C42" s="142" t="inlineStr">
        <is>
          <t>a)</t>
        </is>
      </c>
      <c r="D42" s="144" t="inlineStr">
        <is>
          <t>Media</t>
        </is>
      </c>
      <c r="E42" s="143" t="inlineStr">
        <is>
          <t>Funcional</t>
        </is>
      </c>
      <c r="F42" s="143" t="inlineStr">
        <is>
          <t>Tener una cuenta de administrador y entrar al panel: https://unibuyc-web.vercel.app/admin</t>
        </is>
      </c>
      <c r="G42" s="143" t="inlineStr">
        <is>
          <t>1. Entrar al panel 2. Buscar las métricas de los productos</t>
        </is>
      </c>
      <c r="H42" s="143" t="inlineStr">
        <is>
          <t>Que se vean las métricas de rendimiento de los productos</t>
        </is>
      </c>
      <c r="I42" s="143" t="inlineStr">
        <is>
          <t>Solo hay totales generales (usuarios, productos, chats, mensajes, calificaciones y reportes), no hay métricas por producto</t>
        </is>
      </c>
      <c r="J42" s="139" t="inlineStr">
        <is>
          <t>Fallido</t>
        </is>
      </c>
      <c r="K42" s="143" t="inlineStr">
        <is>
          <t>Falta implementarlo</t>
        </is>
      </c>
      <c r="L42" s="91" t="n"/>
      <c r="M42" s="91" t="n"/>
      <c r="N42" s="91" t="n"/>
      <c r="O42" s="91" t="n"/>
      <c r="P42" s="91" t="n"/>
      <c r="Q42" s="91" t="n"/>
      <c r="R42" s="91" t="n"/>
      <c r="S42" s="91" t="n"/>
      <c r="T42" s="91" t="n"/>
      <c r="U42" s="91" t="n"/>
      <c r="V42" s="91" t="n"/>
      <c r="W42" s="91" t="n"/>
      <c r="X42" s="91" t="n"/>
      <c r="Y42" s="91" t="n"/>
      <c r="Z42" s="91" t="n"/>
      <c r="AA42" s="91" t="n"/>
    </row>
    <row r="43" ht="64" customHeight="1" s="92">
      <c r="A43" s="136" t="inlineStr">
        <is>
          <t>HU-04-1</t>
        </is>
      </c>
      <c r="B43" s="137" t="n">
        <v>31</v>
      </c>
      <c r="C43" s="138" t="inlineStr">
        <is>
          <t>b)</t>
        </is>
      </c>
      <c r="D43" s="144" t="inlineStr">
        <is>
          <t>Media</t>
        </is>
      </c>
      <c r="E43" s="140" t="inlineStr">
        <is>
          <t>Funcional</t>
        </is>
      </c>
      <c r="F43" s="140" t="inlineStr">
        <is>
          <t>Tener una cuenta de administrador y entrar al panel: https://unibuyc-web.vercel.app/admin</t>
        </is>
      </c>
      <c r="G43" s="140" t="inlineStr">
        <is>
          <t>1. Buscar en el panel y en la app donde registrar un evento del mercadito</t>
        </is>
      </c>
      <c r="H43" s="140" t="inlineStr">
        <is>
          <t>Que se puedan registrar eventos del mercadito físico</t>
        </is>
      </c>
      <c r="I43" s="140" t="inlineStr">
        <is>
          <t>No existe esa opción ni en el panel ni en la app</t>
        </is>
      </c>
      <c r="J43" s="139" t="inlineStr">
        <is>
          <t>Fallido</t>
        </is>
      </c>
      <c r="K43" s="140" t="inlineStr">
        <is>
          <t>Falta implementarlo</t>
        </is>
      </c>
      <c r="L43" s="91" t="n"/>
      <c r="M43" s="91" t="n"/>
      <c r="N43" s="91" t="n"/>
      <c r="O43" s="91" t="n"/>
      <c r="P43" s="91" t="n"/>
      <c r="Q43" s="91" t="n"/>
      <c r="R43" s="91" t="n"/>
      <c r="S43" s="91" t="n"/>
      <c r="T43" s="91" t="n"/>
      <c r="U43" s="91" t="n"/>
      <c r="V43" s="91" t="n"/>
      <c r="W43" s="91" t="n"/>
      <c r="X43" s="91" t="n"/>
      <c r="Y43" s="91" t="n"/>
      <c r="Z43" s="91" t="n"/>
      <c r="AA43" s="91" t="n"/>
    </row>
    <row r="44" ht="124" customHeight="1" s="92">
      <c r="A44" s="136" t="inlineStr">
        <is>
          <t>HU-05</t>
        </is>
      </c>
      <c r="B44" s="137" t="n">
        <v>32</v>
      </c>
      <c r="C44" s="142" t="inlineStr">
        <is>
          <t>a)</t>
        </is>
      </c>
      <c r="D44" s="139" t="inlineStr">
        <is>
          <t>Alta</t>
        </is>
      </c>
      <c r="E44" s="143" t="inlineStr">
        <is>
          <t>Funcional</t>
        </is>
      </c>
      <c r="F44" s="143" t="inlineStr">
        <is>
          <t>Ingreso a la aplicación web a traves del enlace o instalación de la APK: https://unibuyc-web.vercel.app/ y tener la sesión iniciada con una cuenta que ya tenga productos publicados</t>
        </is>
      </c>
      <c r="G44" s="143" t="inlineStr">
        <is>
          <t>1. Ir a Perfil 2. Clic en Mis Publicaciones</t>
        </is>
      </c>
      <c r="H44" s="143" t="inlineStr">
        <is>
          <t>Que salgan todas las publicaciones del usuario</t>
        </is>
      </c>
      <c r="I44" s="143" t="inlineStr">
        <is>
          <t>Salen todas sus publicaciones y ninguna de otras personas</t>
        </is>
      </c>
      <c r="J44" s="141" t="inlineStr">
        <is>
          <t>Aprobado</t>
        </is>
      </c>
      <c r="K44" s="143" t="n"/>
      <c r="L44" s="91" t="n"/>
      <c r="M44" s="91" t="n"/>
      <c r="N44" s="91" t="n"/>
      <c r="O44" s="91" t="n"/>
      <c r="P44" s="91" t="n"/>
      <c r="Q44" s="91" t="n"/>
      <c r="R44" s="91" t="n"/>
      <c r="S44" s="91" t="n"/>
      <c r="T44" s="91" t="n"/>
      <c r="U44" s="91" t="n"/>
      <c r="V44" s="91" t="n"/>
      <c r="W44" s="91" t="n"/>
      <c r="X44" s="91" t="n"/>
      <c r="Y44" s="91" t="n"/>
      <c r="Z44" s="91" t="n"/>
      <c r="AA44" s="91" t="n"/>
    </row>
    <row r="45" ht="124" customHeight="1" s="92">
      <c r="A45" s="136" t="inlineStr">
        <is>
          <t>HU-05</t>
        </is>
      </c>
      <c r="B45" s="137" t="n">
        <v>33</v>
      </c>
      <c r="C45" s="138" t="inlineStr">
        <is>
          <t>b)</t>
        </is>
      </c>
      <c r="D45" s="139" t="inlineStr">
        <is>
          <t>Alta</t>
        </is>
      </c>
      <c r="E45" s="140" t="inlineStr">
        <is>
          <t>Funcional</t>
        </is>
      </c>
      <c r="F45" s="140" t="inlineStr">
        <is>
          <t>Ingreso a la aplicación web a traves del enlace o instalación de la APK: https://unibuyc-web.vercel.app/ y tener la sesión iniciada con una cuenta que ya tenga productos publicados</t>
        </is>
      </c>
      <c r="G45" s="140" t="inlineStr">
        <is>
          <t>1. Entrar a un producto propio 2. Cambiar el estado a Agotado</t>
        </is>
      </c>
      <c r="H45" s="140" t="inlineStr">
        <is>
          <t>Que el producto se marque como agotado</t>
        </is>
      </c>
      <c r="I45" s="140" t="inlineStr">
        <is>
          <t>Se marca como agotado en el inicio y ya no lo pueden contactar nuevos compradores</t>
        </is>
      </c>
      <c r="J45" s="141" t="inlineStr">
        <is>
          <t>Aprobado</t>
        </is>
      </c>
      <c r="K45" s="140" t="inlineStr">
        <is>
          <t>Se probó mandando la petición directo a la API (es lo mismo que hace el panel)</t>
        </is>
      </c>
      <c r="L45" s="91" t="n"/>
      <c r="M45" s="91" t="n"/>
      <c r="N45" s="91" t="n"/>
      <c r="O45" s="91" t="n"/>
      <c r="P45" s="91" t="n"/>
      <c r="Q45" s="91" t="n"/>
      <c r="R45" s="91" t="n"/>
      <c r="S45" s="91" t="n"/>
      <c r="T45" s="91" t="n"/>
      <c r="U45" s="91" t="n"/>
      <c r="V45" s="91" t="n"/>
      <c r="W45" s="91" t="n"/>
      <c r="X45" s="91" t="n"/>
      <c r="Y45" s="91" t="n"/>
      <c r="Z45" s="91" t="n"/>
      <c r="AA45" s="91" t="n"/>
    </row>
    <row r="46" ht="148" customHeight="1" s="92">
      <c r="A46" s="136" t="inlineStr">
        <is>
          <t>HU-05</t>
        </is>
      </c>
      <c r="B46" s="137" t="n">
        <v>34</v>
      </c>
      <c r="C46" s="142" t="inlineStr">
        <is>
          <t>b)</t>
        </is>
      </c>
      <c r="D46" s="139" t="inlineStr">
        <is>
          <t>Alta</t>
        </is>
      </c>
      <c r="E46" s="143" t="inlineStr">
        <is>
          <t>Funcional</t>
        </is>
      </c>
      <c r="F46" s="143" t="inlineStr">
        <is>
          <t>Ingreso a la aplicación web a traves del enlace o instalación de la APK: https://unibuyc-web.vercel.app/ y tener la sesión iniciada con una cuenta que ya tenga productos publicados y que alguien ya le haya escrito por un producto</t>
        </is>
      </c>
      <c r="G46" s="143" t="inlineStr">
        <is>
          <t>1. Cambiar el estado del producto a Vendido 2. Intentar escribir en el chat 3. Intentar regresarlo a Disponible</t>
        </is>
      </c>
      <c r="H46" s="143" t="inlineStr">
        <is>
          <t>Que se marque como vendido</t>
        </is>
      </c>
      <c r="I46" s="143" t="inlineStr">
        <is>
          <t>Se quita del inicio, el chat se cierra y ya no se puede regresar a disponible</t>
        </is>
      </c>
      <c r="J46" s="141" t="inlineStr">
        <is>
          <t>Aprobado</t>
        </is>
      </c>
      <c r="K46" s="143" t="inlineStr">
        <is>
          <t>Se probó mandando la petición directo a la API (es lo mismo que hace el panel)</t>
        </is>
      </c>
      <c r="L46" s="91" t="n"/>
      <c r="M46" s="91" t="n"/>
      <c r="N46" s="91" t="n"/>
      <c r="O46" s="91" t="n"/>
      <c r="P46" s="91" t="n"/>
      <c r="Q46" s="91" t="n"/>
      <c r="R46" s="91" t="n"/>
      <c r="S46" s="91" t="n"/>
      <c r="T46" s="91" t="n"/>
      <c r="U46" s="91" t="n"/>
      <c r="V46" s="91" t="n"/>
      <c r="W46" s="91" t="n"/>
      <c r="X46" s="91" t="n"/>
      <c r="Y46" s="91" t="n"/>
      <c r="Z46" s="91" t="n"/>
      <c r="AA46" s="91" t="n"/>
    </row>
    <row r="47" ht="124" customHeight="1" s="92">
      <c r="A47" s="136" t="inlineStr">
        <is>
          <t>HU-05</t>
        </is>
      </c>
      <c r="B47" s="137" t="n">
        <v>35</v>
      </c>
      <c r="C47" s="138" t="inlineStr">
        <is>
          <t>c)</t>
        </is>
      </c>
      <c r="D47" s="139" t="inlineStr">
        <is>
          <t>Alta</t>
        </is>
      </c>
      <c r="E47" s="140" t="inlineStr">
        <is>
          <t>Funcional</t>
        </is>
      </c>
      <c r="F47" s="140" t="inlineStr">
        <is>
          <t>Ingreso a la aplicación web a traves del enlace o instalación de la APK: https://unibuyc-web.vercel.app/ y tener la sesión iniciada con una cuenta que ya tenga productos publicados</t>
        </is>
      </c>
      <c r="G47" s="140" t="inlineStr">
        <is>
          <t>1. Ir a Mis Publicaciones 2. Entrar a un producto 3. Clic en Editar 4. Cambiar título, precio, categoría y descripción 5. Clic en Guardar Cambios</t>
        </is>
      </c>
      <c r="H47" s="140" t="inlineStr">
        <is>
          <t>Que se guarden los cambios del producto</t>
        </is>
      </c>
      <c r="I47" s="140" t="inlineStr">
        <is>
          <t>Sale el aviso de cambios guardados y el producto se actualiza con los nuevos datos</t>
        </is>
      </c>
      <c r="J47" s="141" t="inlineStr">
        <is>
          <t>Aprobado</t>
        </is>
      </c>
      <c r="K47" s="140" t="n"/>
      <c r="L47" s="91" t="n"/>
      <c r="M47" s="91" t="n"/>
      <c r="N47" s="91" t="n"/>
      <c r="O47" s="91" t="n"/>
      <c r="P47" s="91" t="n"/>
      <c r="Q47" s="91" t="n"/>
      <c r="R47" s="91" t="n"/>
      <c r="S47" s="91" t="n"/>
      <c r="T47" s="91" t="n"/>
      <c r="U47" s="91" t="n"/>
      <c r="V47" s="91" t="n"/>
      <c r="W47" s="91" t="n"/>
      <c r="X47" s="91" t="n"/>
      <c r="Y47" s="91" t="n"/>
      <c r="Z47" s="91" t="n"/>
      <c r="AA47" s="91" t="n"/>
    </row>
    <row r="48" ht="64" customHeight="1" s="92">
      <c r="A48" s="136" t="inlineStr">
        <is>
          <t>HU-06</t>
        </is>
      </c>
      <c r="B48" s="137" t="n">
        <v>36</v>
      </c>
      <c r="C48" s="142" t="inlineStr">
        <is>
          <t>a)</t>
        </is>
      </c>
      <c r="D48" s="144" t="inlineStr">
        <is>
          <t>Media</t>
        </is>
      </c>
      <c r="E48" s="143" t="inlineStr">
        <is>
          <t>Funcional</t>
        </is>
      </c>
      <c r="F48" s="143" t="inlineStr">
        <is>
          <t>Tener una cuenta de administrador y entrar al panel: https://unibuyc-web.vercel.app/admin</t>
        </is>
      </c>
      <c r="G48" s="143" t="inlineStr">
        <is>
          <t>1. Revisar las publicaciones registradas y sus ID</t>
        </is>
      </c>
      <c r="H48" s="143" t="inlineStr">
        <is>
          <t>Que cada publicación tenga un ID único</t>
        </is>
      </c>
      <c r="I48" s="143" t="inlineStr">
        <is>
          <t>Todas las publicaciones tienen un ID diferente, no hay repetidos</t>
        </is>
      </c>
      <c r="J48" s="141" t="inlineStr">
        <is>
          <t>Aprobado</t>
        </is>
      </c>
      <c r="K48" s="143" t="inlineStr">
        <is>
          <t>El ID no se ve en la app, solo se usa por dentro</t>
        </is>
      </c>
      <c r="L48" s="91" t="n"/>
      <c r="M48" s="91" t="n"/>
      <c r="N48" s="91" t="n"/>
      <c r="O48" s="91" t="n"/>
      <c r="P48" s="91" t="n"/>
      <c r="Q48" s="91" t="n"/>
      <c r="R48" s="91" t="n"/>
      <c r="S48" s="91" t="n"/>
      <c r="T48" s="91" t="n"/>
      <c r="U48" s="91" t="n"/>
      <c r="V48" s="91" t="n"/>
      <c r="W48" s="91" t="n"/>
      <c r="X48" s="91" t="n"/>
      <c r="Y48" s="91" t="n"/>
      <c r="Z48" s="91" t="n"/>
      <c r="AA48" s="91" t="n"/>
    </row>
    <row r="49" ht="88" customHeight="1" s="92">
      <c r="A49" s="136" t="inlineStr">
        <is>
          <t>HU-06</t>
        </is>
      </c>
      <c r="B49" s="137" t="n">
        <v>37</v>
      </c>
      <c r="C49" s="138" t="inlineStr">
        <is>
          <t>b)</t>
        </is>
      </c>
      <c r="D49" s="139" t="inlineStr">
        <is>
          <t>Alta</t>
        </is>
      </c>
      <c r="E49" s="140" t="inlineStr">
        <is>
          <t>Seguridad</t>
        </is>
      </c>
      <c r="F49" s="140" t="inlineStr">
        <is>
          <t>Ingreso a la aplicación web a traves del enlace o instalación de la APK: https://unibuyc-web.vercel.app//admin con una cuenta normal</t>
        </is>
      </c>
      <c r="G49" s="140" t="inlineStr">
        <is>
          <t>1. Entrar a /admin 2. Iniciar sesión con una cuenta que no es administrador</t>
        </is>
      </c>
      <c r="H49" s="140" t="inlineStr">
        <is>
          <t>Que no deje entrar al panel</t>
        </is>
      </c>
      <c r="I49" s="140" t="inlineStr">
        <is>
          <t>No deja entrar y avisa que la cuenta no tiene permisos de administrador</t>
        </is>
      </c>
      <c r="J49" s="141" t="inlineStr">
        <is>
          <t>Aprobado</t>
        </is>
      </c>
      <c r="K49" s="140" t="n"/>
      <c r="L49" s="91" t="n"/>
      <c r="M49" s="91" t="n"/>
      <c r="N49" s="91" t="n"/>
      <c r="O49" s="91" t="n"/>
      <c r="P49" s="91" t="n"/>
      <c r="Q49" s="91" t="n"/>
      <c r="R49" s="91" t="n"/>
      <c r="S49" s="91" t="n"/>
      <c r="T49" s="91" t="n"/>
      <c r="U49" s="91" t="n"/>
      <c r="V49" s="91" t="n"/>
      <c r="W49" s="91" t="n"/>
      <c r="X49" s="91" t="n"/>
      <c r="Y49" s="91" t="n"/>
      <c r="Z49" s="91" t="n"/>
      <c r="AA49" s="91" t="n"/>
    </row>
    <row r="50" ht="124" customHeight="1" s="92">
      <c r="A50" s="136" t="inlineStr">
        <is>
          <t>HU-06</t>
        </is>
      </c>
      <c r="B50" s="137" t="n">
        <v>38</v>
      </c>
      <c r="C50" s="142" t="inlineStr">
        <is>
          <t>c)</t>
        </is>
      </c>
      <c r="D50" s="139" t="inlineStr">
        <is>
          <t>Alta</t>
        </is>
      </c>
      <c r="E50" s="143" t="inlineStr">
        <is>
          <t>Integración</t>
        </is>
      </c>
      <c r="F50" s="143" t="inlineStr">
        <is>
          <t>Ingreso a la aplicación web a traves del enlace o instalación de la APK: https://unibuyc-web.vercel.app/ y tener la sesión iniciada</t>
        </is>
      </c>
      <c r="G50" s="143" t="inlineStr">
        <is>
          <t>1. Entrar a un producto de otra persona 2. Clic en el botón de reportar 3. Elegir el motivo y poner un comentario 4. Clic en Enviar reporte 5. Revisar la pestaña Reportes del panel</t>
        </is>
      </c>
      <c r="H50" s="143" t="inlineStr">
        <is>
          <t>Que el reporte le llegue al administrador</t>
        </is>
      </c>
      <c r="I50" s="143" t="inlineStr">
        <is>
          <t>Sale el aviso de reporte enviado y el reporte aparece en el panel con su motivo y comentario</t>
        </is>
      </c>
      <c r="J50" s="141" t="inlineStr">
        <is>
          <t>Aprobado</t>
        </is>
      </c>
      <c r="K50" s="143" t="n"/>
      <c r="L50" s="91" t="n"/>
      <c r="M50" s="91" t="n"/>
      <c r="N50" s="91" t="n"/>
      <c r="O50" s="91" t="n"/>
      <c r="P50" s="91" t="n"/>
      <c r="Q50" s="91" t="n"/>
      <c r="R50" s="91" t="n"/>
      <c r="S50" s="91" t="n"/>
      <c r="T50" s="91" t="n"/>
      <c r="U50" s="91" t="n"/>
      <c r="V50" s="91" t="n"/>
      <c r="W50" s="91" t="n"/>
      <c r="X50" s="91" t="n"/>
      <c r="Y50" s="91" t="n"/>
      <c r="Z50" s="91" t="n"/>
      <c r="AA50" s="91" t="n"/>
    </row>
    <row r="51" ht="88" customHeight="1" s="92">
      <c r="A51" s="136" t="inlineStr">
        <is>
          <t>HU-06</t>
        </is>
      </c>
      <c r="B51" s="137" t="n">
        <v>39</v>
      </c>
      <c r="C51" s="138" t="inlineStr">
        <is>
          <t>d)</t>
        </is>
      </c>
      <c r="D51" s="139" t="inlineStr">
        <is>
          <t>Alta</t>
        </is>
      </c>
      <c r="E51" s="140" t="inlineStr">
        <is>
          <t>Funcional</t>
        </is>
      </c>
      <c r="F51" s="140" t="inlineStr">
        <is>
          <t>Tener una cuenta de administrador y entrar al panel: https://unibuyc-web.vercel.app/admin y tener un reporte de un vendedor</t>
        </is>
      </c>
      <c r="G51" s="140" t="inlineStr">
        <is>
          <t>1. En la pestaña Reportes clic en Suspender vendedor 2. Elegir 7 días</t>
        </is>
      </c>
      <c r="H51" s="140" t="inlineStr">
        <is>
          <t>Que el vendedor quede suspendido por un tiempo</t>
        </is>
      </c>
      <c r="I51" s="140" t="inlineStr">
        <is>
          <t>El vendedor ya no puede entrar, su publicación se oculta y el reporte queda como resuelto</t>
        </is>
      </c>
      <c r="J51" s="141" t="inlineStr">
        <is>
          <t>Aprobado</t>
        </is>
      </c>
      <c r="K51" s="140" t="inlineStr">
        <is>
          <t>Se probó mandando la petición directo a la API (es lo mismo que hace el panel)</t>
        </is>
      </c>
      <c r="L51" s="91" t="n"/>
      <c r="M51" s="91" t="n"/>
      <c r="N51" s="91" t="n"/>
      <c r="O51" s="91" t="n"/>
      <c r="P51" s="91" t="n"/>
      <c r="Q51" s="91" t="n"/>
      <c r="R51" s="91" t="n"/>
      <c r="S51" s="91" t="n"/>
      <c r="T51" s="91" t="n"/>
      <c r="U51" s="91" t="n"/>
      <c r="V51" s="91" t="n"/>
      <c r="W51" s="91" t="n"/>
      <c r="X51" s="91" t="n"/>
      <c r="Y51" s="91" t="n"/>
      <c r="Z51" s="91" t="n"/>
      <c r="AA51" s="91" t="n"/>
    </row>
    <row r="52" ht="100" customHeight="1" s="92">
      <c r="A52" s="136" t="inlineStr">
        <is>
          <t>HU-06</t>
        </is>
      </c>
      <c r="B52" s="137" t="n">
        <v>40</v>
      </c>
      <c r="C52" s="142" t="inlineStr">
        <is>
          <t>e)</t>
        </is>
      </c>
      <c r="D52" s="144" t="inlineStr">
        <is>
          <t>Media</t>
        </is>
      </c>
      <c r="E52" s="143" t="inlineStr">
        <is>
          <t>Funcional</t>
        </is>
      </c>
      <c r="F52" s="143" t="inlineStr">
        <is>
          <t>Tener una cuenta de administrador y entrar al panel: https://unibuyc-web.vercel.app/admin y tener un reporte pendiente</t>
        </is>
      </c>
      <c r="G52" s="143" t="inlineStr">
        <is>
          <t>1. Entrar a la pestaña Reportes 2. Buscar como cambiar el tipo de incidencia</t>
        </is>
      </c>
      <c r="H52" s="143" t="inlineStr">
        <is>
          <t>Que se pueda reclasificar el reporte</t>
        </is>
      </c>
      <c r="I52" s="143" t="inlineStr">
        <is>
          <t>Solo se puede ver la publicación, descartar, suspender al vendedor o eliminar la publicación, no se puede cambiar el tipo</t>
        </is>
      </c>
      <c r="J52" s="139" t="inlineStr">
        <is>
          <t>Fallido</t>
        </is>
      </c>
      <c r="K52" s="143" t="inlineStr">
        <is>
          <t>Falta implementarlo</t>
        </is>
      </c>
      <c r="L52" s="91" t="n"/>
      <c r="M52" s="91" t="n"/>
      <c r="N52" s="91" t="n"/>
      <c r="O52" s="91" t="n"/>
      <c r="P52" s="91" t="n"/>
      <c r="Q52" s="91" t="n"/>
      <c r="R52" s="91" t="n"/>
      <c r="S52" s="91" t="n"/>
      <c r="T52" s="91" t="n"/>
      <c r="U52" s="91" t="n"/>
      <c r="V52" s="91" t="n"/>
      <c r="W52" s="91" t="n"/>
      <c r="X52" s="91" t="n"/>
      <c r="Y52" s="91" t="n"/>
      <c r="Z52" s="91" t="n"/>
      <c r="AA52" s="91" t="n"/>
    </row>
    <row r="53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</row>
    <row r="54">
      <c r="A54" s="91" t="n"/>
      <c r="B54" s="91" t="n"/>
      <c r="C54" s="91" t="n"/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91" t="n"/>
      <c r="T54" s="91" t="n"/>
      <c r="U54" s="91" t="n"/>
      <c r="V54" s="91" t="n"/>
      <c r="W54" s="91" t="n"/>
      <c r="X54" s="91" t="n"/>
      <c r="Y54" s="91" t="n"/>
      <c r="Z54" s="91" t="n"/>
      <c r="AA54" s="91" t="n"/>
    </row>
    <row r="55">
      <c r="A55" s="91" t="n"/>
      <c r="B55" s="91" t="n"/>
      <c r="C55" s="91" t="n"/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91" t="n"/>
      <c r="T55" s="91" t="n"/>
      <c r="U55" s="91" t="n"/>
      <c r="V55" s="91" t="n"/>
      <c r="W55" s="91" t="n"/>
      <c r="X55" s="91" t="n"/>
      <c r="Y55" s="91" t="n"/>
      <c r="Z55" s="91" t="n"/>
      <c r="AA55" s="91" t="n"/>
    </row>
    <row r="56">
      <c r="A56" s="91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91" t="n"/>
      <c r="T56" s="91" t="n"/>
      <c r="U56" s="91" t="n"/>
      <c r="V56" s="91" t="n"/>
      <c r="W56" s="91" t="n"/>
      <c r="X56" s="91" t="n"/>
      <c r="Y56" s="91" t="n"/>
      <c r="Z56" s="91" t="n"/>
      <c r="AA56" s="91" t="n"/>
    </row>
    <row r="57">
      <c r="A57" s="91" t="n"/>
      <c r="B57" s="91" t="n"/>
      <c r="C57" s="91" t="n"/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91" t="n"/>
      <c r="T57" s="91" t="n"/>
      <c r="U57" s="91" t="n"/>
      <c r="V57" s="91" t="n"/>
      <c r="W57" s="91" t="n"/>
      <c r="X57" s="91" t="n"/>
      <c r="Y57" s="91" t="n"/>
      <c r="Z57" s="91" t="n"/>
      <c r="AA57" s="91" t="n"/>
    </row>
    <row r="58">
      <c r="A58" s="91" t="n"/>
      <c r="B58" s="91" t="n"/>
      <c r="C58" s="91" t="n"/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91" t="n"/>
      <c r="T58" s="91" t="n"/>
      <c r="U58" s="91" t="n"/>
      <c r="V58" s="91" t="n"/>
      <c r="W58" s="91" t="n"/>
      <c r="X58" s="91" t="n"/>
      <c r="Y58" s="91" t="n"/>
      <c r="Z58" s="91" t="n"/>
      <c r="AA58" s="91" t="n"/>
    </row>
    <row r="59">
      <c r="A59" s="91" t="n"/>
      <c r="B59" s="91" t="n"/>
      <c r="C59" s="91" t="n"/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91" t="n"/>
      <c r="T59" s="91" t="n"/>
      <c r="U59" s="91" t="n"/>
      <c r="V59" s="91" t="n"/>
      <c r="W59" s="91" t="n"/>
      <c r="X59" s="91" t="n"/>
      <c r="Y59" s="91" t="n"/>
      <c r="Z59" s="91" t="n"/>
      <c r="AA59" s="91" t="n"/>
    </row>
    <row r="60">
      <c r="A60" s="91" t="n"/>
      <c r="B60" s="91" t="n"/>
      <c r="C60" s="91" t="n"/>
      <c r="D60" s="91" t="n"/>
      <c r="E60" s="91" t="n"/>
      <c r="F60" s="91" t="n"/>
      <c r="G60" s="91" t="n"/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91" t="n"/>
      <c r="T60" s="91" t="n"/>
      <c r="U60" s="91" t="n"/>
      <c r="V60" s="91" t="n"/>
      <c r="W60" s="91" t="n"/>
      <c r="X60" s="91" t="n"/>
      <c r="Y60" s="91" t="n"/>
      <c r="Z60" s="91" t="n"/>
      <c r="AA60" s="91" t="n"/>
    </row>
    <row r="61">
      <c r="A61" s="91" t="n"/>
      <c r="B61" s="91" t="n"/>
      <c r="C61" s="91" t="n"/>
      <c r="D61" s="91" t="n"/>
      <c r="E61" s="91" t="n"/>
      <c r="F61" s="91" t="n"/>
      <c r="G61" s="91" t="n"/>
      <c r="H61" s="91" t="n"/>
      <c r="I61" s="91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91" t="n"/>
      <c r="T61" s="91" t="n"/>
      <c r="U61" s="91" t="n"/>
      <c r="V61" s="91" t="n"/>
      <c r="W61" s="91" t="n"/>
      <c r="X61" s="91" t="n"/>
      <c r="Y61" s="91" t="n"/>
      <c r="Z61" s="91" t="n"/>
      <c r="AA61" s="91" t="n"/>
    </row>
    <row r="62">
      <c r="A62" s="91" t="n"/>
      <c r="B62" s="91" t="n"/>
      <c r="C62" s="91" t="n"/>
      <c r="D62" s="91" t="n"/>
      <c r="E62" s="91" t="n"/>
      <c r="F62" s="91" t="n"/>
      <c r="G62" s="91" t="n"/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91" t="n"/>
      <c r="T62" s="91" t="n"/>
      <c r="U62" s="91" t="n"/>
      <c r="V62" s="91" t="n"/>
      <c r="W62" s="91" t="n"/>
      <c r="X62" s="91" t="n"/>
      <c r="Y62" s="91" t="n"/>
      <c r="Z62" s="91" t="n"/>
      <c r="AA62" s="91" t="n"/>
    </row>
    <row r="63">
      <c r="A63" s="91" t="n"/>
      <c r="B63" s="91" t="n"/>
      <c r="C63" s="91" t="n"/>
      <c r="D63" s="91" t="n"/>
      <c r="E63" s="91" t="n"/>
      <c r="F63" s="91" t="n"/>
      <c r="G63" s="91" t="n"/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91" t="n"/>
      <c r="T63" s="91" t="n"/>
      <c r="U63" s="91" t="n"/>
      <c r="V63" s="91" t="n"/>
      <c r="W63" s="91" t="n"/>
      <c r="X63" s="91" t="n"/>
      <c r="Y63" s="91" t="n"/>
      <c r="Z63" s="91" t="n"/>
      <c r="AA63" s="91" t="n"/>
    </row>
    <row r="64">
      <c r="A64" s="91" t="n"/>
      <c r="B64" s="91" t="n"/>
      <c r="C64" s="91" t="n"/>
      <c r="D64" s="91" t="n"/>
      <c r="E64" s="91" t="n"/>
      <c r="F64" s="91" t="n"/>
      <c r="G64" s="91" t="n"/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91" t="n"/>
      <c r="T64" s="91" t="n"/>
      <c r="U64" s="91" t="n"/>
      <c r="V64" s="91" t="n"/>
      <c r="W64" s="91" t="n"/>
      <c r="X64" s="91" t="n"/>
      <c r="Y64" s="91" t="n"/>
      <c r="Z64" s="91" t="n"/>
      <c r="AA64" s="91" t="n"/>
    </row>
    <row r="65">
      <c r="A65" s="91" t="n"/>
      <c r="B65" s="91" t="n"/>
      <c r="C65" s="91" t="n"/>
      <c r="D65" s="91" t="n"/>
      <c r="E65" s="91" t="n"/>
      <c r="F65" s="91" t="n"/>
      <c r="G65" s="91" t="n"/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91" t="n"/>
      <c r="T65" s="91" t="n"/>
      <c r="U65" s="91" t="n"/>
      <c r="V65" s="91" t="n"/>
      <c r="W65" s="91" t="n"/>
      <c r="X65" s="91" t="n"/>
      <c r="Y65" s="91" t="n"/>
      <c r="Z65" s="91" t="n"/>
      <c r="AA65" s="91" t="n"/>
    </row>
    <row r="66">
      <c r="A66" s="91" t="n"/>
      <c r="B66" s="91" t="n"/>
      <c r="C66" s="91" t="n"/>
      <c r="D66" s="91" t="n"/>
      <c r="E66" s="91" t="n"/>
      <c r="F66" s="91" t="n"/>
      <c r="G66" s="91" t="n"/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  <c r="Z66" s="91" t="n"/>
      <c r="AA66" s="91" t="n"/>
    </row>
    <row r="67">
      <c r="A67" s="91" t="n"/>
      <c r="B67" s="91" t="n"/>
      <c r="C67" s="91" t="n"/>
      <c r="D67" s="91" t="n"/>
      <c r="E67" s="91" t="n"/>
      <c r="F67" s="91" t="n"/>
      <c r="G67" s="91" t="n"/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91" t="n"/>
      <c r="T67" s="91" t="n"/>
      <c r="U67" s="91" t="n"/>
      <c r="V67" s="91" t="n"/>
      <c r="W67" s="91" t="n"/>
      <c r="X67" s="91" t="n"/>
      <c r="Y67" s="91" t="n"/>
      <c r="Z67" s="91" t="n"/>
      <c r="AA67" s="91" t="n"/>
    </row>
    <row r="68">
      <c r="A68" s="91" t="n"/>
      <c r="B68" s="91" t="n"/>
      <c r="C68" s="91" t="n"/>
      <c r="D68" s="91" t="n"/>
      <c r="E68" s="91" t="n"/>
      <c r="F68" s="91" t="n"/>
      <c r="G68" s="91" t="n"/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91" t="n"/>
      <c r="T68" s="91" t="n"/>
      <c r="U68" s="91" t="n"/>
      <c r="V68" s="91" t="n"/>
      <c r="W68" s="91" t="n"/>
      <c r="X68" s="91" t="n"/>
      <c r="Y68" s="91" t="n"/>
      <c r="Z68" s="91" t="n"/>
      <c r="AA68" s="91" t="n"/>
    </row>
    <row r="69">
      <c r="A69" s="91" t="n"/>
      <c r="B69" s="91" t="n"/>
      <c r="C69" s="91" t="n"/>
      <c r="D69" s="91" t="n"/>
      <c r="E69" s="91" t="n"/>
      <c r="F69" s="91" t="n"/>
      <c r="G69" s="91" t="n"/>
      <c r="H69" s="91" t="n"/>
      <c r="I69" s="91" t="n"/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91" t="n"/>
      <c r="T69" s="91" t="n"/>
      <c r="U69" s="91" t="n"/>
      <c r="V69" s="91" t="n"/>
      <c r="W69" s="91" t="n"/>
      <c r="X69" s="91" t="n"/>
      <c r="Y69" s="91" t="n"/>
      <c r="Z69" s="91" t="n"/>
      <c r="AA69" s="91" t="n"/>
    </row>
    <row r="70">
      <c r="A70" s="91" t="n"/>
      <c r="B70" s="91" t="n"/>
      <c r="C70" s="91" t="n"/>
      <c r="D70" s="91" t="n"/>
      <c r="E70" s="91" t="n"/>
      <c r="F70" s="91" t="n"/>
      <c r="G70" s="91" t="n"/>
      <c r="H70" s="91" t="n"/>
      <c r="I70" s="91" t="n"/>
      <c r="J70" s="91" t="n"/>
      <c r="K70" s="91" t="n"/>
      <c r="L70" s="91" t="n"/>
      <c r="M70" s="91" t="n"/>
      <c r="N70" s="91" t="n"/>
      <c r="O70" s="91" t="n"/>
      <c r="P70" s="91" t="n"/>
      <c r="Q70" s="91" t="n"/>
      <c r="R70" s="91" t="n"/>
      <c r="S70" s="91" t="n"/>
      <c r="T70" s="91" t="n"/>
      <c r="U70" s="91" t="n"/>
      <c r="V70" s="91" t="n"/>
      <c r="W70" s="91" t="n"/>
      <c r="X70" s="91" t="n"/>
      <c r="Y70" s="91" t="n"/>
      <c r="Z70" s="91" t="n"/>
      <c r="AA70" s="91" t="n"/>
    </row>
    <row r="71">
      <c r="A71" s="91" t="n"/>
      <c r="B71" s="91" t="n"/>
      <c r="C71" s="91" t="n"/>
      <c r="D71" s="91" t="n"/>
      <c r="E71" s="91" t="n"/>
      <c r="F71" s="91" t="n"/>
      <c r="G71" s="91" t="n"/>
      <c r="H71" s="91" t="n"/>
      <c r="I71" s="91" t="n"/>
      <c r="J71" s="91" t="n"/>
      <c r="K71" s="91" t="n"/>
      <c r="L71" s="91" t="n"/>
      <c r="M71" s="91" t="n"/>
      <c r="N71" s="91" t="n"/>
      <c r="O71" s="91" t="n"/>
      <c r="P71" s="91" t="n"/>
      <c r="Q71" s="91" t="n"/>
      <c r="R71" s="91" t="n"/>
      <c r="S71" s="91" t="n"/>
      <c r="T71" s="91" t="n"/>
      <c r="U71" s="91" t="n"/>
      <c r="V71" s="91" t="n"/>
      <c r="W71" s="91" t="n"/>
      <c r="X71" s="91" t="n"/>
      <c r="Y71" s="91" t="n"/>
      <c r="Z71" s="91" t="n"/>
      <c r="AA71" s="91" t="n"/>
    </row>
    <row r="72">
      <c r="A72" s="91" t="n"/>
      <c r="B72" s="91" t="n"/>
      <c r="C72" s="91" t="n"/>
      <c r="D72" s="91" t="n"/>
      <c r="E72" s="91" t="n"/>
      <c r="F72" s="91" t="n"/>
      <c r="G72" s="91" t="n"/>
      <c r="H72" s="91" t="n"/>
      <c r="I72" s="91" t="n"/>
      <c r="J72" s="91" t="n"/>
      <c r="K72" s="91" t="n"/>
      <c r="L72" s="91" t="n"/>
      <c r="M72" s="91" t="n"/>
      <c r="N72" s="91" t="n"/>
      <c r="O72" s="91" t="n"/>
      <c r="P72" s="91" t="n"/>
      <c r="Q72" s="91" t="n"/>
      <c r="R72" s="91" t="n"/>
      <c r="S72" s="91" t="n"/>
      <c r="T72" s="91" t="n"/>
      <c r="U72" s="91" t="n"/>
      <c r="V72" s="91" t="n"/>
      <c r="W72" s="91" t="n"/>
      <c r="X72" s="91" t="n"/>
      <c r="Y72" s="91" t="n"/>
      <c r="Z72" s="91" t="n"/>
      <c r="AA72" s="91" t="n"/>
    </row>
    <row r="73">
      <c r="A73" s="91" t="n"/>
      <c r="B73" s="91" t="n"/>
      <c r="C73" s="91" t="n"/>
      <c r="D73" s="91" t="n"/>
      <c r="E73" s="91" t="n"/>
      <c r="F73" s="91" t="n"/>
      <c r="G73" s="91" t="n"/>
      <c r="H73" s="91" t="n"/>
      <c r="I73" s="91" t="n"/>
      <c r="J73" s="91" t="n"/>
      <c r="K73" s="91" t="n"/>
      <c r="L73" s="91" t="n"/>
      <c r="M73" s="91" t="n"/>
      <c r="N73" s="91" t="n"/>
      <c r="O73" s="91" t="n"/>
      <c r="P73" s="91" t="n"/>
      <c r="Q73" s="91" t="n"/>
      <c r="R73" s="91" t="n"/>
      <c r="S73" s="91" t="n"/>
      <c r="T73" s="91" t="n"/>
      <c r="U73" s="91" t="n"/>
      <c r="V73" s="91" t="n"/>
      <c r="W73" s="91" t="n"/>
      <c r="X73" s="91" t="n"/>
      <c r="Y73" s="91" t="n"/>
      <c r="Z73" s="91" t="n"/>
      <c r="AA73" s="91" t="n"/>
    </row>
    <row r="74">
      <c r="A74" s="91" t="n"/>
      <c r="B74" s="91" t="n"/>
      <c r="C74" s="91" t="n"/>
      <c r="D74" s="91" t="n"/>
      <c r="E74" s="91" t="n"/>
      <c r="F74" s="91" t="n"/>
      <c r="G74" s="91" t="n"/>
      <c r="H74" s="91" t="n"/>
      <c r="I74" s="91" t="n"/>
      <c r="J74" s="91" t="n"/>
      <c r="K74" s="91" t="n"/>
      <c r="L74" s="91" t="n"/>
      <c r="M74" s="91" t="n"/>
      <c r="N74" s="91" t="n"/>
      <c r="O74" s="91" t="n"/>
      <c r="P74" s="91" t="n"/>
      <c r="Q74" s="91" t="n"/>
      <c r="R74" s="91" t="n"/>
      <c r="S74" s="91" t="n"/>
      <c r="T74" s="91" t="n"/>
      <c r="U74" s="91" t="n"/>
      <c r="V74" s="91" t="n"/>
      <c r="W74" s="91" t="n"/>
      <c r="X74" s="91" t="n"/>
      <c r="Y74" s="91" t="n"/>
      <c r="Z74" s="91" t="n"/>
      <c r="AA74" s="91" t="n"/>
    </row>
    <row r="75">
      <c r="A75" s="91" t="n"/>
      <c r="B75" s="91" t="n"/>
      <c r="C75" s="91" t="n"/>
      <c r="D75" s="91" t="n"/>
      <c r="E75" s="91" t="n"/>
      <c r="F75" s="91" t="n"/>
      <c r="G75" s="91" t="n"/>
      <c r="H75" s="91" t="n"/>
      <c r="I75" s="91" t="n"/>
      <c r="J75" s="91" t="n"/>
      <c r="K75" s="91" t="n"/>
      <c r="L75" s="91" t="n"/>
      <c r="M75" s="91" t="n"/>
      <c r="N75" s="91" t="n"/>
      <c r="O75" s="91" t="n"/>
      <c r="P75" s="91" t="n"/>
      <c r="Q75" s="91" t="n"/>
      <c r="R75" s="91" t="n"/>
      <c r="S75" s="91" t="n"/>
      <c r="T75" s="91" t="n"/>
      <c r="U75" s="91" t="n"/>
      <c r="V75" s="91" t="n"/>
      <c r="W75" s="91" t="n"/>
      <c r="X75" s="91" t="n"/>
      <c r="Y75" s="91" t="n"/>
      <c r="Z75" s="91" t="n"/>
      <c r="AA75" s="91" t="n"/>
    </row>
    <row r="76">
      <c r="A76" s="91" t="n"/>
      <c r="B76" s="91" t="n"/>
      <c r="C76" s="91" t="n"/>
      <c r="D76" s="91" t="n"/>
      <c r="E76" s="91" t="n"/>
      <c r="F76" s="91" t="n"/>
      <c r="G76" s="91" t="n"/>
      <c r="H76" s="91" t="n"/>
      <c r="I76" s="91" t="n"/>
      <c r="J76" s="91" t="n"/>
      <c r="K76" s="91" t="n"/>
      <c r="L76" s="91" t="n"/>
      <c r="M76" s="91" t="n"/>
      <c r="N76" s="91" t="n"/>
      <c r="O76" s="91" t="n"/>
      <c r="P76" s="91" t="n"/>
      <c r="Q76" s="91" t="n"/>
      <c r="R76" s="91" t="n"/>
      <c r="S76" s="91" t="n"/>
      <c r="T76" s="91" t="n"/>
      <c r="U76" s="91" t="n"/>
      <c r="V76" s="91" t="n"/>
      <c r="W76" s="91" t="n"/>
      <c r="X76" s="91" t="n"/>
      <c r="Y76" s="91" t="n"/>
      <c r="Z76" s="91" t="n"/>
      <c r="AA76" s="91" t="n"/>
    </row>
    <row r="77">
      <c r="A77" s="91" t="n"/>
      <c r="B77" s="91" t="n"/>
      <c r="C77" s="91" t="n"/>
      <c r="D77" s="91" t="n"/>
      <c r="E77" s="91" t="n"/>
      <c r="F77" s="91" t="n"/>
      <c r="G77" s="91" t="n"/>
      <c r="H77" s="91" t="n"/>
      <c r="I77" s="91" t="n"/>
      <c r="J77" s="91" t="n"/>
      <c r="K77" s="91" t="n"/>
      <c r="L77" s="91" t="n"/>
      <c r="M77" s="91" t="n"/>
      <c r="N77" s="91" t="n"/>
      <c r="O77" s="91" t="n"/>
      <c r="P77" s="91" t="n"/>
      <c r="Q77" s="91" t="n"/>
      <c r="R77" s="91" t="n"/>
      <c r="S77" s="91" t="n"/>
      <c r="T77" s="91" t="n"/>
      <c r="U77" s="91" t="n"/>
      <c r="V77" s="91" t="n"/>
      <c r="W77" s="91" t="n"/>
      <c r="X77" s="91" t="n"/>
      <c r="Y77" s="91" t="n"/>
      <c r="Z77" s="91" t="n"/>
      <c r="AA77" s="91" t="n"/>
    </row>
    <row r="78">
      <c r="A78" s="91" t="n"/>
      <c r="B78" s="91" t="n"/>
      <c r="C78" s="91" t="n"/>
      <c r="D78" s="91" t="n"/>
      <c r="E78" s="91" t="n"/>
      <c r="F78" s="91" t="n"/>
      <c r="G78" s="91" t="n"/>
      <c r="H78" s="91" t="n"/>
      <c r="I78" s="91" t="n"/>
      <c r="J78" s="91" t="n"/>
      <c r="K78" s="91" t="n"/>
      <c r="L78" s="91" t="n"/>
      <c r="M78" s="91" t="n"/>
      <c r="N78" s="91" t="n"/>
      <c r="O78" s="91" t="n"/>
      <c r="P78" s="91" t="n"/>
      <c r="Q78" s="91" t="n"/>
      <c r="R78" s="91" t="n"/>
      <c r="S78" s="91" t="n"/>
      <c r="T78" s="91" t="n"/>
      <c r="U78" s="91" t="n"/>
      <c r="V78" s="91" t="n"/>
      <c r="W78" s="91" t="n"/>
      <c r="X78" s="91" t="n"/>
      <c r="Y78" s="91" t="n"/>
      <c r="Z78" s="91" t="n"/>
      <c r="AA78" s="91" t="n"/>
    </row>
    <row r="79">
      <c r="A79" s="91" t="n"/>
      <c r="B79" s="91" t="n"/>
      <c r="C79" s="91" t="n"/>
      <c r="D79" s="91" t="n"/>
      <c r="E79" s="91" t="n"/>
      <c r="F79" s="91" t="n"/>
      <c r="G79" s="91" t="n"/>
      <c r="H79" s="91" t="n"/>
      <c r="I79" s="91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  <c r="Z79" s="91" t="n"/>
      <c r="AA79" s="91" t="n"/>
    </row>
    <row r="80">
      <c r="A80" s="91" t="n"/>
      <c r="B80" s="91" t="n"/>
      <c r="C80" s="91" t="n"/>
      <c r="D80" s="91" t="n"/>
      <c r="E80" s="91" t="n"/>
      <c r="F80" s="91" t="n"/>
      <c r="G80" s="91" t="n"/>
      <c r="H80" s="91" t="n"/>
      <c r="I80" s="91" t="n"/>
      <c r="J80" s="91" t="n"/>
      <c r="K80" s="91" t="n"/>
      <c r="L80" s="91" t="n"/>
      <c r="M80" s="91" t="n"/>
      <c r="N80" s="91" t="n"/>
      <c r="O80" s="91" t="n"/>
      <c r="P80" s="91" t="n"/>
      <c r="Q80" s="91" t="n"/>
      <c r="R80" s="91" t="n"/>
      <c r="S80" s="91" t="n"/>
      <c r="T80" s="91" t="n"/>
      <c r="U80" s="91" t="n"/>
      <c r="V80" s="91" t="n"/>
      <c r="W80" s="91" t="n"/>
      <c r="X80" s="91" t="n"/>
      <c r="Y80" s="91" t="n"/>
      <c r="Z80" s="91" t="n"/>
      <c r="AA80" s="91" t="n"/>
    </row>
    <row r="81">
      <c r="A81" s="91" t="n"/>
      <c r="B81" s="91" t="n"/>
      <c r="C81" s="91" t="n"/>
      <c r="D81" s="91" t="n"/>
      <c r="E81" s="91" t="n"/>
      <c r="F81" s="91" t="n"/>
      <c r="G81" s="91" t="n"/>
      <c r="H81" s="91" t="n"/>
      <c r="I81" s="91" t="n"/>
      <c r="J81" s="91" t="n"/>
      <c r="K81" s="91" t="n"/>
      <c r="L81" s="91" t="n"/>
      <c r="M81" s="91" t="n"/>
      <c r="N81" s="91" t="n"/>
      <c r="O81" s="91" t="n"/>
      <c r="P81" s="91" t="n"/>
      <c r="Q81" s="91" t="n"/>
      <c r="R81" s="91" t="n"/>
      <c r="S81" s="91" t="n"/>
      <c r="T81" s="91" t="n"/>
      <c r="U81" s="91" t="n"/>
      <c r="V81" s="91" t="n"/>
      <c r="W81" s="91" t="n"/>
      <c r="X81" s="91" t="n"/>
      <c r="Y81" s="91" t="n"/>
      <c r="Z81" s="91" t="n"/>
      <c r="AA81" s="91" t="n"/>
    </row>
    <row r="82">
      <c r="A82" s="91" t="n"/>
      <c r="B82" s="91" t="n"/>
      <c r="C82" s="91" t="n"/>
      <c r="D82" s="91" t="n"/>
      <c r="E82" s="91" t="n"/>
      <c r="F82" s="91" t="n"/>
      <c r="G82" s="91" t="n"/>
      <c r="H82" s="91" t="n"/>
      <c r="I82" s="91" t="n"/>
      <c r="J82" s="91" t="n"/>
      <c r="K82" s="91" t="n"/>
      <c r="L82" s="91" t="n"/>
      <c r="M82" s="91" t="n"/>
      <c r="N82" s="91" t="n"/>
      <c r="O82" s="91" t="n"/>
      <c r="P82" s="91" t="n"/>
      <c r="Q82" s="91" t="n"/>
      <c r="R82" s="91" t="n"/>
      <c r="S82" s="91" t="n"/>
      <c r="T82" s="91" t="n"/>
      <c r="U82" s="91" t="n"/>
      <c r="V82" s="91" t="n"/>
      <c r="W82" s="91" t="n"/>
      <c r="X82" s="91" t="n"/>
      <c r="Y82" s="91" t="n"/>
      <c r="Z82" s="91" t="n"/>
      <c r="AA82" s="91" t="n"/>
    </row>
    <row r="83">
      <c r="A83" s="91" t="n"/>
      <c r="B83" s="91" t="n"/>
      <c r="C83" s="91" t="n"/>
      <c r="D83" s="91" t="n"/>
      <c r="E83" s="91" t="n"/>
      <c r="F83" s="91" t="n"/>
      <c r="G83" s="91" t="n"/>
      <c r="H83" s="91" t="n"/>
      <c r="I83" s="91" t="n"/>
      <c r="J83" s="91" t="n"/>
      <c r="K83" s="91" t="n"/>
      <c r="L83" s="91" t="n"/>
      <c r="M83" s="91" t="n"/>
      <c r="N83" s="91" t="n"/>
      <c r="O83" s="91" t="n"/>
      <c r="P83" s="91" t="n"/>
      <c r="Q83" s="91" t="n"/>
      <c r="R83" s="91" t="n"/>
      <c r="S83" s="91" t="n"/>
      <c r="T83" s="91" t="n"/>
      <c r="U83" s="91" t="n"/>
      <c r="V83" s="91" t="n"/>
      <c r="W83" s="91" t="n"/>
      <c r="X83" s="91" t="n"/>
      <c r="Y83" s="91" t="n"/>
      <c r="Z83" s="91" t="n"/>
      <c r="AA83" s="91" t="n"/>
    </row>
    <row r="84">
      <c r="A84" s="91" t="n"/>
      <c r="B84" s="91" t="n"/>
      <c r="C84" s="91" t="n"/>
      <c r="D84" s="91" t="n"/>
      <c r="E84" s="91" t="n"/>
      <c r="F84" s="91" t="n"/>
      <c r="G84" s="91" t="n"/>
      <c r="H84" s="91" t="n"/>
      <c r="I84" s="91" t="n"/>
      <c r="J84" s="91" t="n"/>
      <c r="K84" s="91" t="n"/>
      <c r="L84" s="91" t="n"/>
      <c r="M84" s="91" t="n"/>
      <c r="N84" s="91" t="n"/>
      <c r="O84" s="91" t="n"/>
      <c r="P84" s="91" t="n"/>
      <c r="Q84" s="91" t="n"/>
      <c r="R84" s="91" t="n"/>
      <c r="S84" s="91" t="n"/>
      <c r="T84" s="91" t="n"/>
      <c r="U84" s="91" t="n"/>
      <c r="V84" s="91" t="n"/>
      <c r="W84" s="91" t="n"/>
      <c r="X84" s="91" t="n"/>
      <c r="Y84" s="91" t="n"/>
      <c r="Z84" s="91" t="n"/>
      <c r="AA84" s="91" t="n"/>
    </row>
    <row r="85">
      <c r="A85" s="91" t="n"/>
      <c r="B85" s="91" t="n"/>
      <c r="C85" s="91" t="n"/>
      <c r="D85" s="91" t="n"/>
      <c r="E85" s="91" t="n"/>
      <c r="F85" s="91" t="n"/>
      <c r="G85" s="91" t="n"/>
      <c r="H85" s="91" t="n"/>
      <c r="I85" s="91" t="n"/>
      <c r="J85" s="91" t="n"/>
      <c r="K85" s="91" t="n"/>
      <c r="L85" s="91" t="n"/>
      <c r="M85" s="91" t="n"/>
      <c r="N85" s="91" t="n"/>
      <c r="O85" s="91" t="n"/>
      <c r="P85" s="91" t="n"/>
      <c r="Q85" s="91" t="n"/>
      <c r="R85" s="91" t="n"/>
      <c r="S85" s="91" t="n"/>
      <c r="T85" s="91" t="n"/>
      <c r="U85" s="91" t="n"/>
      <c r="V85" s="91" t="n"/>
      <c r="W85" s="91" t="n"/>
      <c r="X85" s="91" t="n"/>
      <c r="Y85" s="91" t="n"/>
      <c r="Z85" s="91" t="n"/>
      <c r="AA85" s="91" t="n"/>
    </row>
    <row r="86">
      <c r="A86" s="91" t="n"/>
      <c r="B86" s="91" t="n"/>
      <c r="C86" s="91" t="n"/>
      <c r="D86" s="91" t="n"/>
      <c r="E86" s="91" t="n"/>
      <c r="F86" s="91" t="n"/>
      <c r="G86" s="91" t="n"/>
      <c r="H86" s="91" t="n"/>
      <c r="I86" s="91" t="n"/>
      <c r="J86" s="91" t="n"/>
      <c r="K86" s="91" t="n"/>
      <c r="L86" s="91" t="n"/>
      <c r="M86" s="91" t="n"/>
      <c r="N86" s="91" t="n"/>
      <c r="O86" s="91" t="n"/>
      <c r="P86" s="91" t="n"/>
      <c r="Q86" s="91" t="n"/>
      <c r="R86" s="91" t="n"/>
      <c r="S86" s="91" t="n"/>
      <c r="T86" s="91" t="n"/>
      <c r="U86" s="91" t="n"/>
      <c r="V86" s="91" t="n"/>
      <c r="W86" s="91" t="n"/>
      <c r="X86" s="91" t="n"/>
      <c r="Y86" s="91" t="n"/>
      <c r="Z86" s="91" t="n"/>
      <c r="AA86" s="91" t="n"/>
    </row>
    <row r="87">
      <c r="A87" s="91" t="n"/>
      <c r="B87" s="91" t="n"/>
      <c r="C87" s="91" t="n"/>
      <c r="D87" s="91" t="n"/>
      <c r="E87" s="91" t="n"/>
      <c r="F87" s="91" t="n"/>
      <c r="G87" s="91" t="n"/>
      <c r="H87" s="91" t="n"/>
      <c r="I87" s="91" t="n"/>
      <c r="J87" s="91" t="n"/>
      <c r="K87" s="91" t="n"/>
      <c r="L87" s="91" t="n"/>
      <c r="M87" s="91" t="n"/>
      <c r="N87" s="91" t="n"/>
      <c r="O87" s="91" t="n"/>
      <c r="P87" s="91" t="n"/>
      <c r="Q87" s="91" t="n"/>
      <c r="R87" s="91" t="n"/>
      <c r="S87" s="91" t="n"/>
      <c r="T87" s="91" t="n"/>
      <c r="U87" s="91" t="n"/>
      <c r="V87" s="91" t="n"/>
      <c r="W87" s="91" t="n"/>
      <c r="X87" s="91" t="n"/>
      <c r="Y87" s="91" t="n"/>
      <c r="Z87" s="91" t="n"/>
      <c r="AA87" s="91" t="n"/>
    </row>
    <row r="88">
      <c r="A88" s="91" t="n"/>
      <c r="B88" s="91" t="n"/>
      <c r="C88" s="91" t="n"/>
      <c r="D88" s="91" t="n"/>
      <c r="E88" s="91" t="n"/>
      <c r="F88" s="91" t="n"/>
      <c r="G88" s="91" t="n"/>
      <c r="H88" s="91" t="n"/>
      <c r="I88" s="91" t="n"/>
      <c r="J88" s="91" t="n"/>
      <c r="K88" s="91" t="n"/>
      <c r="L88" s="91" t="n"/>
      <c r="M88" s="91" t="n"/>
      <c r="N88" s="91" t="n"/>
      <c r="O88" s="91" t="n"/>
      <c r="P88" s="91" t="n"/>
      <c r="Q88" s="91" t="n"/>
      <c r="R88" s="91" t="n"/>
      <c r="S88" s="91" t="n"/>
      <c r="T88" s="91" t="n"/>
      <c r="U88" s="91" t="n"/>
      <c r="V88" s="91" t="n"/>
      <c r="W88" s="91" t="n"/>
      <c r="X88" s="91" t="n"/>
      <c r="Y88" s="91" t="n"/>
      <c r="Z88" s="91" t="n"/>
      <c r="AA88" s="91" t="n"/>
    </row>
    <row r="89">
      <c r="A89" s="91" t="n"/>
      <c r="B89" s="91" t="n"/>
      <c r="C89" s="91" t="n"/>
      <c r="D89" s="91" t="n"/>
      <c r="E89" s="91" t="n"/>
      <c r="F89" s="91" t="n"/>
      <c r="G89" s="91" t="n"/>
      <c r="H89" s="91" t="n"/>
      <c r="I89" s="91" t="n"/>
      <c r="J89" s="91" t="n"/>
      <c r="K89" s="91" t="n"/>
      <c r="L89" s="91" t="n"/>
      <c r="M89" s="91" t="n"/>
      <c r="N89" s="91" t="n"/>
      <c r="O89" s="91" t="n"/>
      <c r="P89" s="91" t="n"/>
      <c r="Q89" s="91" t="n"/>
      <c r="R89" s="91" t="n"/>
      <c r="S89" s="91" t="n"/>
      <c r="T89" s="91" t="n"/>
      <c r="U89" s="91" t="n"/>
      <c r="V89" s="91" t="n"/>
      <c r="W89" s="91" t="n"/>
      <c r="X89" s="91" t="n"/>
      <c r="Y89" s="91" t="n"/>
      <c r="Z89" s="91" t="n"/>
      <c r="AA89" s="91" t="n"/>
    </row>
    <row r="90">
      <c r="A90" s="91" t="n"/>
      <c r="B90" s="91" t="n"/>
      <c r="C90" s="91" t="n"/>
      <c r="D90" s="91" t="n"/>
      <c r="E90" s="91" t="n"/>
      <c r="F90" s="91" t="n"/>
      <c r="G90" s="91" t="n"/>
      <c r="H90" s="91" t="n"/>
      <c r="I90" s="91" t="n"/>
      <c r="J90" s="91" t="n"/>
      <c r="K90" s="91" t="n"/>
      <c r="L90" s="91" t="n"/>
      <c r="M90" s="91" t="n"/>
      <c r="N90" s="91" t="n"/>
      <c r="O90" s="91" t="n"/>
      <c r="P90" s="91" t="n"/>
      <c r="Q90" s="91" t="n"/>
      <c r="R90" s="91" t="n"/>
      <c r="S90" s="91" t="n"/>
      <c r="T90" s="91" t="n"/>
      <c r="U90" s="91" t="n"/>
      <c r="V90" s="91" t="n"/>
      <c r="W90" s="91" t="n"/>
      <c r="X90" s="91" t="n"/>
      <c r="Y90" s="91" t="n"/>
      <c r="Z90" s="91" t="n"/>
      <c r="AA90" s="91" t="n"/>
    </row>
    <row r="91">
      <c r="A91" s="91" t="n"/>
      <c r="B91" s="91" t="n"/>
      <c r="C91" s="91" t="n"/>
      <c r="D91" s="91" t="n"/>
      <c r="E91" s="91" t="n"/>
      <c r="F91" s="91" t="n"/>
      <c r="G91" s="91" t="n"/>
      <c r="H91" s="91" t="n"/>
      <c r="I91" s="91" t="n"/>
      <c r="J91" s="91" t="n"/>
      <c r="K91" s="91" t="n"/>
      <c r="L91" s="91" t="n"/>
      <c r="M91" s="91" t="n"/>
      <c r="N91" s="91" t="n"/>
      <c r="O91" s="91" t="n"/>
      <c r="P91" s="91" t="n"/>
      <c r="Q91" s="91" t="n"/>
      <c r="R91" s="91" t="n"/>
      <c r="S91" s="91" t="n"/>
      <c r="T91" s="91" t="n"/>
      <c r="U91" s="91" t="n"/>
      <c r="V91" s="91" t="n"/>
      <c r="W91" s="91" t="n"/>
      <c r="X91" s="91" t="n"/>
      <c r="Y91" s="91" t="n"/>
      <c r="Z91" s="91" t="n"/>
      <c r="AA91" s="91" t="n"/>
    </row>
    <row r="92">
      <c r="A92" s="91" t="n"/>
      <c r="B92" s="91" t="n"/>
      <c r="C92" s="91" t="n"/>
      <c r="D92" s="91" t="n"/>
      <c r="E92" s="91" t="n"/>
      <c r="F92" s="91" t="n"/>
      <c r="G92" s="91" t="n"/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  <c r="Z92" s="91" t="n"/>
      <c r="AA92" s="91" t="n"/>
    </row>
    <row r="93">
      <c r="A93" s="91" t="n"/>
      <c r="B93" s="91" t="n"/>
      <c r="C93" s="91" t="n"/>
      <c r="D93" s="91" t="n"/>
      <c r="E93" s="91" t="n"/>
      <c r="F93" s="91" t="n"/>
      <c r="G93" s="91" t="n"/>
      <c r="H93" s="91" t="n"/>
      <c r="I93" s="91" t="n"/>
      <c r="J93" s="91" t="n"/>
      <c r="K93" s="91" t="n"/>
      <c r="L93" s="91" t="n"/>
      <c r="M93" s="91" t="n"/>
      <c r="N93" s="91" t="n"/>
      <c r="O93" s="91" t="n"/>
      <c r="P93" s="91" t="n"/>
      <c r="Q93" s="91" t="n"/>
      <c r="R93" s="91" t="n"/>
      <c r="S93" s="91" t="n"/>
      <c r="T93" s="91" t="n"/>
      <c r="U93" s="91" t="n"/>
      <c r="V93" s="91" t="n"/>
      <c r="W93" s="91" t="n"/>
      <c r="X93" s="91" t="n"/>
      <c r="Y93" s="91" t="n"/>
      <c r="Z93" s="91" t="n"/>
      <c r="AA93" s="91" t="n"/>
    </row>
    <row r="94">
      <c r="A94" s="91" t="n"/>
      <c r="B94" s="91" t="n"/>
      <c r="C94" s="91" t="n"/>
      <c r="D94" s="91" t="n"/>
      <c r="E94" s="91" t="n"/>
      <c r="F94" s="91" t="n"/>
      <c r="G94" s="91" t="n"/>
      <c r="H94" s="91" t="n"/>
      <c r="I94" s="91" t="n"/>
      <c r="J94" s="91" t="n"/>
      <c r="K94" s="91" t="n"/>
      <c r="L94" s="91" t="n"/>
      <c r="M94" s="91" t="n"/>
      <c r="N94" s="91" t="n"/>
      <c r="O94" s="91" t="n"/>
      <c r="P94" s="91" t="n"/>
      <c r="Q94" s="91" t="n"/>
      <c r="R94" s="91" t="n"/>
      <c r="S94" s="91" t="n"/>
      <c r="T94" s="91" t="n"/>
      <c r="U94" s="91" t="n"/>
      <c r="V94" s="91" t="n"/>
      <c r="W94" s="91" t="n"/>
      <c r="X94" s="91" t="n"/>
      <c r="Y94" s="91" t="n"/>
      <c r="Z94" s="91" t="n"/>
      <c r="AA94" s="91" t="n"/>
    </row>
    <row r="95">
      <c r="A95" s="91" t="n"/>
      <c r="B95" s="91" t="n"/>
      <c r="C95" s="91" t="n"/>
      <c r="D95" s="91" t="n"/>
      <c r="E95" s="91" t="n"/>
      <c r="F95" s="91" t="n"/>
      <c r="G95" s="91" t="n"/>
      <c r="H95" s="91" t="n"/>
      <c r="I95" s="91" t="n"/>
      <c r="J95" s="91" t="n"/>
      <c r="K95" s="91" t="n"/>
      <c r="L95" s="91" t="n"/>
      <c r="M95" s="91" t="n"/>
      <c r="N95" s="91" t="n"/>
      <c r="O95" s="91" t="n"/>
      <c r="P95" s="91" t="n"/>
      <c r="Q95" s="91" t="n"/>
      <c r="R95" s="91" t="n"/>
      <c r="S95" s="91" t="n"/>
      <c r="T95" s="91" t="n"/>
      <c r="U95" s="91" t="n"/>
      <c r="V95" s="91" t="n"/>
      <c r="W95" s="91" t="n"/>
      <c r="X95" s="91" t="n"/>
      <c r="Y95" s="91" t="n"/>
      <c r="Z95" s="91" t="n"/>
      <c r="AA95" s="91" t="n"/>
    </row>
    <row r="96">
      <c r="A96" s="91" t="n"/>
      <c r="B96" s="91" t="n"/>
      <c r="C96" s="91" t="n"/>
      <c r="D96" s="91" t="n"/>
      <c r="E96" s="91" t="n"/>
      <c r="F96" s="91" t="n"/>
      <c r="G96" s="91" t="n"/>
      <c r="H96" s="91" t="n"/>
      <c r="I96" s="91" t="n"/>
      <c r="J96" s="91" t="n"/>
      <c r="K96" s="91" t="n"/>
      <c r="L96" s="91" t="n"/>
      <c r="M96" s="91" t="n"/>
      <c r="N96" s="91" t="n"/>
      <c r="O96" s="91" t="n"/>
      <c r="P96" s="91" t="n"/>
      <c r="Q96" s="91" t="n"/>
      <c r="R96" s="91" t="n"/>
      <c r="S96" s="91" t="n"/>
      <c r="T96" s="91" t="n"/>
      <c r="U96" s="91" t="n"/>
      <c r="V96" s="91" t="n"/>
      <c r="W96" s="91" t="n"/>
      <c r="X96" s="91" t="n"/>
      <c r="Y96" s="91" t="n"/>
      <c r="Z96" s="91" t="n"/>
      <c r="AA96" s="91" t="n"/>
    </row>
    <row r="97">
      <c r="A97" s="91" t="n"/>
      <c r="B97" s="91" t="n"/>
      <c r="C97" s="91" t="n"/>
      <c r="D97" s="91" t="n"/>
      <c r="E97" s="91" t="n"/>
      <c r="F97" s="91" t="n"/>
      <c r="G97" s="91" t="n"/>
      <c r="H97" s="91" t="n"/>
      <c r="I97" s="91" t="n"/>
      <c r="J97" s="91" t="n"/>
      <c r="K97" s="91" t="n"/>
      <c r="L97" s="91" t="n"/>
      <c r="M97" s="91" t="n"/>
      <c r="N97" s="91" t="n"/>
      <c r="O97" s="91" t="n"/>
      <c r="P97" s="91" t="n"/>
      <c r="Q97" s="91" t="n"/>
      <c r="R97" s="91" t="n"/>
      <c r="S97" s="91" t="n"/>
      <c r="T97" s="91" t="n"/>
      <c r="U97" s="91" t="n"/>
      <c r="V97" s="91" t="n"/>
      <c r="W97" s="91" t="n"/>
      <c r="X97" s="91" t="n"/>
      <c r="Y97" s="91" t="n"/>
      <c r="Z97" s="91" t="n"/>
      <c r="AA97" s="91" t="n"/>
    </row>
    <row r="98">
      <c r="A98" s="91" t="n"/>
      <c r="B98" s="91" t="n"/>
      <c r="C98" s="91" t="n"/>
      <c r="D98" s="91" t="n"/>
      <c r="E98" s="91" t="n"/>
      <c r="F98" s="91" t="n"/>
      <c r="G98" s="91" t="n"/>
      <c r="H98" s="91" t="n"/>
      <c r="I98" s="91" t="n"/>
      <c r="J98" s="91" t="n"/>
      <c r="K98" s="91" t="n"/>
      <c r="L98" s="91" t="n"/>
      <c r="M98" s="91" t="n"/>
      <c r="N98" s="91" t="n"/>
      <c r="O98" s="91" t="n"/>
      <c r="P98" s="91" t="n"/>
      <c r="Q98" s="91" t="n"/>
      <c r="R98" s="91" t="n"/>
      <c r="S98" s="91" t="n"/>
      <c r="T98" s="91" t="n"/>
      <c r="U98" s="91" t="n"/>
      <c r="V98" s="91" t="n"/>
      <c r="W98" s="91" t="n"/>
      <c r="X98" s="91" t="n"/>
      <c r="Y98" s="91" t="n"/>
      <c r="Z98" s="91" t="n"/>
      <c r="AA98" s="91" t="n"/>
    </row>
    <row r="99">
      <c r="A99" s="91" t="n"/>
      <c r="B99" s="91" t="n"/>
      <c r="C99" s="91" t="n"/>
      <c r="D99" s="91" t="n"/>
      <c r="E99" s="91" t="n"/>
      <c r="F99" s="91" t="n"/>
      <c r="G99" s="91" t="n"/>
      <c r="H99" s="91" t="n"/>
      <c r="I99" s="91" t="n"/>
      <c r="J99" s="91" t="n"/>
      <c r="K99" s="91" t="n"/>
      <c r="L99" s="91" t="n"/>
      <c r="M99" s="91" t="n"/>
      <c r="N99" s="91" t="n"/>
      <c r="O99" s="91" t="n"/>
      <c r="P99" s="91" t="n"/>
      <c r="Q99" s="91" t="n"/>
      <c r="R99" s="91" t="n"/>
      <c r="S99" s="91" t="n"/>
      <c r="T99" s="91" t="n"/>
      <c r="U99" s="91" t="n"/>
      <c r="V99" s="91" t="n"/>
      <c r="W99" s="91" t="n"/>
      <c r="X99" s="91" t="n"/>
      <c r="Y99" s="91" t="n"/>
      <c r="Z99" s="91" t="n"/>
      <c r="AA99" s="91" t="n"/>
    </row>
    <row r="100">
      <c r="A100" s="91" t="n"/>
      <c r="B100" s="91" t="n"/>
      <c r="C100" s="91" t="n"/>
      <c r="D100" s="91" t="n"/>
      <c r="E100" s="91" t="n"/>
      <c r="F100" s="91" t="n"/>
      <c r="G100" s="91" t="n"/>
      <c r="H100" s="91" t="n"/>
      <c r="I100" s="91" t="n"/>
      <c r="J100" s="91" t="n"/>
      <c r="K100" s="91" t="n"/>
      <c r="L100" s="91" t="n"/>
      <c r="M100" s="91" t="n"/>
      <c r="N100" s="91" t="n"/>
      <c r="O100" s="91" t="n"/>
      <c r="P100" s="91" t="n"/>
      <c r="Q100" s="91" t="n"/>
      <c r="R100" s="91" t="n"/>
      <c r="S100" s="91" t="n"/>
      <c r="T100" s="91" t="n"/>
      <c r="U100" s="91" t="n"/>
      <c r="V100" s="91" t="n"/>
      <c r="W100" s="91" t="n"/>
      <c r="X100" s="91" t="n"/>
      <c r="Y100" s="91" t="n"/>
      <c r="Z100" s="91" t="n"/>
      <c r="AA100" s="91" t="n"/>
    </row>
  </sheetData>
  <mergeCells count="24">
    <mergeCell ref="D10:E10"/>
    <mergeCell ref="J5:K5"/>
    <mergeCell ref="F10:G10"/>
    <mergeCell ref="H10:I10"/>
    <mergeCell ref="J10:K10"/>
    <mergeCell ref="H9:I9"/>
    <mergeCell ref="J9:K9"/>
    <mergeCell ref="B8:C8"/>
    <mergeCell ref="F8:G8"/>
    <mergeCell ref="J4:K4"/>
    <mergeCell ref="B10:C10"/>
    <mergeCell ref="G5:H5"/>
    <mergeCell ref="B2:K2"/>
    <mergeCell ref="B9:C9"/>
    <mergeCell ref="D9:E9"/>
    <mergeCell ref="F9:G9"/>
    <mergeCell ref="C6:K6"/>
    <mergeCell ref="D8:E8"/>
    <mergeCell ref="G4:H4"/>
    <mergeCell ref="B1:K1"/>
    <mergeCell ref="C5:E5"/>
    <mergeCell ref="C4:E4"/>
    <mergeCell ref="H8:I8"/>
    <mergeCell ref="J8:K8"/>
  </mergeCells>
  <dataValidations count="3">
    <dataValidation sqref="D13:D52" showDropDown="0" showInputMessage="0" showErrorMessage="1" allowBlank="1" type="list">
      <formula1>"Alta,Media,Baja"</formula1>
    </dataValidation>
    <dataValidation sqref="E13:E52" showDropDown="0" showInputMessage="0" showErrorMessage="1" allowBlank="1" type="list">
      <formula1>"Funcional,Seguridad,Integración,Usabilidad,Regresión,Límites"</formula1>
    </dataValidation>
    <dataValidation sqref="J13:J52" showDropDown="0" showInputMessage="0" showErrorMessage="1" allowBlank="1" type="list">
      <formula1>"Aprobado,Fallido,Bloqueado,Pendiente"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2026-10-09T19:59:08Z</dcterms:created>
  <dcterms:modified xsi:type="dcterms:W3CDTF">2026-10-09T19:59:08Z</dcterms:modified>
</cp:coreProperties>
</file>